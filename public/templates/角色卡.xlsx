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  <sheet name="职业模板" sheetId="2" state="visible" r:id="rId2"/>
    <sheet name="专长参考" sheetId="3" state="visible" r:id="rId3"/>
    <sheet name="职业特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</font>
    <font>
      <name val="微软雅黑"/>
      <color rgb="00000000"/>
      <sz val="11"/>
    </font>
    <font>
      <name val="微软雅黑"/>
      <b val="1"/>
      <sz val="9"/>
    </font>
    <font>
      <name val="微软雅黑"/>
      <b val="1"/>
      <color rgb="00FFFFFF"/>
      <sz val="18"/>
    </font>
    <font>
      <name val="微软雅黑"/>
      <b val="1"/>
      <color rgb="00FFFFFF"/>
      <sz val="12"/>
    </font>
    <font>
      <name val="微软雅黑"/>
      <color rgb="00555555"/>
      <sz val="9"/>
    </font>
    <font>
      <name val="微软雅黑"/>
      <b val="1"/>
      <color rgb="00000000"/>
      <sz val="11"/>
    </font>
    <font>
      <name val="微软雅黑"/>
      <i val="1"/>
      <color rgb="002E5294"/>
      <sz val="11"/>
    </font>
    <font>
      <name val="微软雅黑"/>
      <color rgb="002E5294"/>
      <sz val="16"/>
    </font>
    <font>
      <name val="微软雅黑"/>
      <color rgb="00000000"/>
      <sz val="10"/>
    </font>
    <font>
      <name val="微软雅黑"/>
      <b val="1"/>
      <color rgb="00000000"/>
      <sz val="12"/>
    </font>
    <font>
      <name val="微软雅黑"/>
      <i val="1"/>
      <color rgb="00555555"/>
      <sz val="10"/>
    </font>
    <font>
      <name val="微软雅黑"/>
      <b val="1"/>
      <sz val="10"/>
    </font>
    <font>
      <name val="微软雅黑"/>
      <b val="1"/>
      <i val="1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7"/>
        <bgColor rgb="00D6E4F7"/>
      </patternFill>
    </fill>
    <fill>
      <patternFill patternType="solid">
        <fgColor rgb="00EBF3FF"/>
        <bgColor rgb="00EBF3FF"/>
      </patternFill>
    </fill>
    <fill>
      <patternFill patternType="solid">
        <fgColor rgb="002E5294"/>
        <bgColor rgb="002E5294"/>
      </patternFill>
    </fill>
    <fill>
      <patternFill patternType="solid">
        <fgColor rgb="00D4EDDA"/>
        <bgColor rgb="00D4EDDA"/>
      </patternFill>
    </fill>
    <fill>
      <patternFill patternType="solid">
        <fgColor rgb="00FFE5CC"/>
        <bgColor rgb="00FFE5CC"/>
      </patternFill>
    </fill>
    <fill>
      <patternFill patternType="solid">
        <fgColor rgb="00FFD6D6"/>
        <bgColor rgb="00FFD6D6"/>
      </patternFill>
    </fill>
    <fill>
      <patternFill patternType="solid">
        <fgColor rgb="00E8D6FF"/>
        <bgColor rgb="00E8D6FF"/>
      </patternFill>
    </fill>
    <fill>
      <patternFill patternType="solid">
        <fgColor rgb="00D6F7EF"/>
        <bgColor rgb="00D6F7EF"/>
      </patternFill>
    </fill>
    <fill>
      <patternFill patternType="solid">
        <fgColor rgb="00FFF3D6"/>
        <bgColor rgb="00FFF3D6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2" fillId="3" borderId="1" pivotButton="0" quotePrefix="0" xfId="0"/>
    <xf numFmtId="0" fontId="0" fillId="0" borderId="0" applyAlignment="1" pivotButton="0" quotePrefix="0" xfId="0">
      <alignment vertical="top" wrapText="1"/>
    </xf>
    <xf numFmtId="0" fontId="2" fillId="4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14" fillId="3" borderId="1" pivotButton="0" quotePrefix="0" xfId="0"/>
    <xf numFmtId="0" fontId="14" fillId="6" borderId="1" pivotButton="0" quotePrefix="0" xfId="0"/>
    <xf numFmtId="0" fontId="14" fillId="7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8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7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" customWidth="1" min="7" max="7"/>
    <col width="14" customWidth="1" min="8" max="8"/>
    <col width="14" customWidth="1" min="9" max="9"/>
    <col width="14" customWidth="1" min="10" max="10"/>
    <col width="2" customWidth="1" min="11" max="11"/>
  </cols>
  <sheetData>
    <row r="1" ht="36" customHeight="1">
      <c r="B1" s="1">
        <f>IF(ISBLANK(C3), "⚔  XXX角色卡  ⚔", "⚔  " &amp; C3 &amp; "角色卡  ⚔")</f>
        <v/>
      </c>
    </row>
    <row r="2" ht="20" customHeight="1">
      <c r="B2" s="2" t="inlineStr">
        <is>
          <t>基本信息</t>
        </is>
      </c>
      <c r="C2" s="3" t="n"/>
      <c r="D2" s="3" t="n"/>
      <c r="E2" s="3" t="n"/>
      <c r="F2" s="4" t="n"/>
      <c r="H2" s="2" t="inlineStr">
        <is>
          <t>🎒 装备 / 物品栏</t>
        </is>
      </c>
      <c r="I2" s="3" t="n"/>
      <c r="J2" s="4" t="n"/>
    </row>
    <row r="3" ht="20" customHeight="1">
      <c r="B3" s="5" t="inlineStr">
        <is>
          <t>角色姓名</t>
        </is>
      </c>
      <c r="C3" s="6" t="n"/>
      <c r="D3" s="5" t="inlineStr">
        <is>
          <t>职业</t>
        </is>
      </c>
      <c r="E3" s="6" t="n"/>
      <c r="F3" s="7" t="inlineStr">
        <is>
          <t>熟练加值 PB</t>
        </is>
      </c>
      <c r="H3" s="8" t="inlineStr"/>
    </row>
    <row r="4" ht="20" customHeight="1">
      <c r="B4" s="5" t="inlineStr">
        <is>
          <t>玩家姓名</t>
        </is>
      </c>
      <c r="C4" s="6" t="n"/>
      <c r="D4" s="5" t="inlineStr">
        <is>
          <t>子职业</t>
        </is>
      </c>
      <c r="E4" s="6" t="n"/>
      <c r="F4" s="9" t="n">
        <v>2</v>
      </c>
    </row>
    <row r="5" ht="20" customHeight="1">
      <c r="B5" s="5" t="inlineStr">
        <is>
          <t>背景</t>
        </is>
      </c>
      <c r="C5" s="6" t="n"/>
      <c r="D5" s="5" t="inlineStr">
        <is>
          <t>性别</t>
        </is>
      </c>
      <c r="E5" s="6" t="n"/>
      <c r="H5" s="2" t="inlineStr">
        <is>
          <t>📝 角色简介</t>
        </is>
      </c>
      <c r="I5" s="3" t="n"/>
      <c r="J5" s="4" t="n"/>
    </row>
    <row r="6" ht="20" customHeight="1">
      <c r="B6" s="5" t="inlineStr">
        <is>
          <t>性格</t>
        </is>
      </c>
      <c r="C6" s="6" t="n"/>
      <c r="D6" s="5" t="inlineStr">
        <is>
          <t>等级</t>
        </is>
      </c>
      <c r="E6" s="6" t="n"/>
      <c r="H6" s="10" t="inlineStr">
        <is>
          <t>年龄:      身高:      体重:      
外貌特征:</t>
        </is>
      </c>
    </row>
    <row r="7" ht="20" customHeight="1"/>
    <row r="8" ht="20" customHeight="1">
      <c r="B8" s="2" t="inlineStr">
        <is>
          <t>六围属性  (选择职业后自动填充推荐值)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4" t="n"/>
    </row>
    <row r="9" ht="20" customHeight="1">
      <c r="B9" s="11" t="inlineStr">
        <is>
          <t>属性</t>
        </is>
      </c>
      <c r="C9" s="11" t="inlineStr">
        <is>
          <t>基本数值</t>
        </is>
      </c>
      <c r="D9" s="11" t="inlineStr">
        <is>
          <t>属性增加</t>
        </is>
      </c>
      <c r="E9" s="11" t="inlineStr">
        <is>
          <t>当前数值</t>
        </is>
      </c>
      <c r="F9" s="11" t="inlineStr">
        <is>
          <t>调整值 Mod</t>
        </is>
      </c>
      <c r="H9" s="11" t="inlineStr">
        <is>
          <t>豁免熟练</t>
        </is>
      </c>
      <c r="I9" s="11" t="inlineStr">
        <is>
          <t>豁免加值</t>
        </is>
      </c>
    </row>
    <row r="10" ht="20" customHeight="1">
      <c r="B10" s="12" t="inlineStr">
        <is>
          <t>力量</t>
        </is>
      </c>
      <c r="C10" s="13">
        <f>IFERROR(INDEX(职业模板!$B$2:$B$8,MATCH($E$3,职业模板!$A$2:$A$8,0)),10)</f>
        <v/>
      </c>
      <c r="D10" s="14" t="n">
        <v>0</v>
      </c>
      <c r="E10" s="14">
        <f>C10+D10</f>
        <v/>
      </c>
      <c r="F10" s="15">
        <f>ROUNDDOWN((E10-10)/2,0)</f>
        <v/>
      </c>
      <c r="H10" s="15">
        <f>IFERROR(INDEX(职业模板!$H$2:$H$8,MATCH($E$3,职业模板!$A$2:$A$8,0)),0)</f>
        <v/>
      </c>
      <c r="I10" s="14">
        <f>F10+(H10*$F$4)</f>
        <v/>
      </c>
    </row>
    <row r="11" ht="20" customHeight="1">
      <c r="B11" s="16" t="inlineStr">
        <is>
          <t>速度</t>
        </is>
      </c>
      <c r="C11" s="17">
        <f>IFERROR(INDEX(职业模板!$C$2:$C$8,MATCH($E$3,职业模板!$A$2:$A$8,0)),10)</f>
        <v/>
      </c>
      <c r="D11" s="9" t="n">
        <v>0</v>
      </c>
      <c r="E11" s="9">
        <f>C11+D11</f>
        <v/>
      </c>
      <c r="F11" s="18">
        <f>ROUNDDOWN((E11-10)/2,0)</f>
        <v/>
      </c>
      <c r="H11" s="18">
        <f>IFERROR(INDEX(职业模板!$I$2:$I$8,MATCH($E$3,职业模板!$A$2:$A$8,0)),0)</f>
        <v/>
      </c>
      <c r="I11" s="9">
        <f>F11+(H11*$F$4)</f>
        <v/>
      </c>
    </row>
    <row r="12" ht="20" customHeight="1">
      <c r="B12" s="12" t="inlineStr">
        <is>
          <t>耐力</t>
        </is>
      </c>
      <c r="C12" s="13">
        <f>IFERROR(INDEX(职业模板!$D$2:$D$8,MATCH($E$3,职业模板!$A$2:$A$8,0)),10)</f>
        <v/>
      </c>
      <c r="D12" s="14" t="n">
        <v>0</v>
      </c>
      <c r="E12" s="14">
        <f>C12+D12</f>
        <v/>
      </c>
      <c r="F12" s="15">
        <f>ROUNDDOWN((E12-10)/2,0)</f>
        <v/>
      </c>
      <c r="H12" s="15">
        <f>IFERROR(INDEX(职业模板!$J$2:$J$8,MATCH($E$3,职业模板!$A$2:$A$8,0)),0)</f>
        <v/>
      </c>
      <c r="I12" s="14">
        <f>F12+(H12*$F$4)</f>
        <v/>
      </c>
    </row>
    <row r="13" ht="20" customHeight="1">
      <c r="B13" s="16" t="inlineStr">
        <is>
          <t>控制</t>
        </is>
      </c>
      <c r="C13" s="17">
        <f>IFERROR(INDEX(职业模板!$E$2:$E$8,MATCH($E$3,职业模板!$A$2:$A$8,0)),10)</f>
        <v/>
      </c>
      <c r="D13" s="9" t="n">
        <v>0</v>
      </c>
      <c r="E13" s="9">
        <f>C13+D13</f>
        <v/>
      </c>
      <c r="F13" s="18">
        <f>ROUNDDOWN((E13-10)/2,0)</f>
        <v/>
      </c>
      <c r="H13" s="18">
        <f>IFERROR(INDEX(职业模板!$K$2:$K$8,MATCH($E$3,职业模板!$A$2:$A$8,0)),0)</f>
        <v/>
      </c>
      <c r="I13" s="9">
        <f>F13+(H13*$F$4)</f>
        <v/>
      </c>
    </row>
    <row r="14" ht="20" customHeight="1">
      <c r="B14" s="12" t="inlineStr">
        <is>
          <t>精密</t>
        </is>
      </c>
      <c r="C14" s="13">
        <f>IFERROR(INDEX(职业模板!$F$2:$F$8,MATCH($E$3,职业模板!$A$2:$A$8,0)),10)</f>
        <v/>
      </c>
      <c r="D14" s="14" t="n">
        <v>0</v>
      </c>
      <c r="E14" s="14">
        <f>C14+D14</f>
        <v/>
      </c>
      <c r="F14" s="15">
        <f>ROUNDDOWN((E14-10)/2,0)</f>
        <v/>
      </c>
      <c r="H14" s="15">
        <f>IFERROR(INDEX(职业模板!$L$2:$L$8,MATCH($E$3,职业模板!$A$2:$A$8,0)),0)</f>
        <v/>
      </c>
      <c r="I14" s="14">
        <f>F14+(H14*$F$4)</f>
        <v/>
      </c>
    </row>
    <row r="15" ht="20" customHeight="1">
      <c r="B15" s="16" t="inlineStr">
        <is>
          <t>魅力</t>
        </is>
      </c>
      <c r="C15" s="17">
        <f>IFERROR(INDEX(职业模板!$G$2:$G$8,MATCH($E$3,职业模板!$A$2:$A$8,0)),10)</f>
        <v/>
      </c>
      <c r="D15" s="9" t="n">
        <v>0</v>
      </c>
      <c r="E15" s="9">
        <f>C15+D15</f>
        <v/>
      </c>
      <c r="F15" s="18">
        <f>ROUNDDOWN((E15-10)/2,0)</f>
        <v/>
      </c>
      <c r="H15" s="18">
        <f>IFERROR(INDEX(职业模板!$M$2:$M$8,MATCH($E$3,职业模板!$A$2:$A$8,0)),0)</f>
        <v/>
      </c>
      <c r="I15" s="9">
        <f>F15+(H15*$F$4)</f>
        <v/>
      </c>
    </row>
    <row r="16" ht="20" customHeight="1"/>
    <row r="17" ht="24" customHeight="1">
      <c r="B17" s="2" t="inlineStr">
        <is>
          <t>战斗数据 Combat Stats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4" t="n"/>
    </row>
    <row r="18" ht="20" customHeight="1">
      <c r="B18" s="7" t="inlineStr">
        <is>
          <t>护甲等级 AC</t>
        </is>
      </c>
      <c r="C18" s="14">
        <f>IFERROR(INDEX(职业模板!$O$2:$O$8,MATCH($E$3,职业模板!$A$2:$A$8,0)),10)+F11</f>
        <v/>
      </c>
      <c r="D18" s="7" t="inlineStr">
        <is>
          <t>先攻 Initiative</t>
        </is>
      </c>
      <c r="E18" s="15">
        <f>F11</f>
        <v/>
      </c>
      <c r="F18" s="7" t="inlineStr">
        <is>
          <t>速度 Speed (ft)</t>
        </is>
      </c>
      <c r="H18" s="14">
        <f>IFERROR(VLOOKUP(IF(ISBLANK(E4), E3, E4), '职业模板'!$W$2:$X$50, 2, 0), 30)</f>
        <v/>
      </c>
    </row>
    <row r="19" ht="20" customHeight="1">
      <c r="B19" s="7" t="inlineStr">
        <is>
          <t>最大HP Max</t>
        </is>
      </c>
      <c r="C19" s="15" t="n"/>
      <c r="D19" s="7" t="inlineStr">
        <is>
          <t>当前HP Current</t>
        </is>
      </c>
      <c r="E19" s="15" t="n"/>
      <c r="F19" s="7" t="inlineStr">
        <is>
          <t>临时HP Temp</t>
        </is>
      </c>
      <c r="H19" s="15" t="n"/>
    </row>
    <row r="20" ht="20" customHeight="1">
      <c r="B20" s="7" t="inlineStr">
        <is>
          <t>生命驰 Hit Dice</t>
        </is>
      </c>
      <c r="C20" s="14">
        <f>IFERROR(INDEX(职业模板!$N$2:$N$8,MATCH($E$3,职业模板!$A$2:$A$8,0)),"d8")</f>
        <v/>
      </c>
      <c r="D20" s="7" t="inlineStr">
        <is>
          <t>死亡豁免成功 ☑</t>
        </is>
      </c>
      <c r="E20" s="15" t="n"/>
      <c r="F20" s="7" t="inlineStr">
        <is>
          <t>死亡豁免失败 ☒</t>
        </is>
      </c>
      <c r="H20" s="15" t="n"/>
    </row>
    <row r="21" ht="20" customHeight="1"/>
    <row r="22" ht="20" customHeight="1">
      <c r="B22" s="7" t="inlineStr">
        <is>
          <t>被动察觉 Passive Perception</t>
        </is>
      </c>
      <c r="C22" s="4" t="n"/>
      <c r="D22" s="14">
        <f>10+H49</f>
        <v/>
      </c>
      <c r="E22" s="4" t="n"/>
    </row>
    <row r="23" ht="20" customHeight="1"/>
    <row r="24" ht="24" customHeight="1">
      <c r="B24" s="2" t="inlineStr">
        <is>
          <t>斗气槽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4" t="n"/>
    </row>
    <row r="25" ht="20" customHeight="1">
      <c r="C25" s="11" t="inlineStr">
        <is>
          <t>槽 1</t>
        </is>
      </c>
      <c r="D25" s="11" t="inlineStr">
        <is>
          <t>槽 2</t>
        </is>
      </c>
      <c r="E25" s="11" t="inlineStr">
        <is>
          <t>槽 3</t>
        </is>
      </c>
      <c r="F25" s="11" t="inlineStr">
        <is>
          <t>槽 4</t>
        </is>
      </c>
      <c r="G25" s="4" t="n"/>
      <c r="H25" s="11" t="inlineStr">
        <is>
          <t>槽 5</t>
        </is>
      </c>
      <c r="I25" s="11" t="inlineStr">
        <is>
          <t>槽 6</t>
        </is>
      </c>
    </row>
    <row r="26" ht="20" customHeight="1">
      <c r="C26" s="19" t="inlineStr">
        <is>
          <t>■</t>
        </is>
      </c>
      <c r="D26" s="19" t="inlineStr">
        <is>
          <t>■</t>
        </is>
      </c>
      <c r="E26" s="19" t="inlineStr">
        <is>
          <t>■</t>
        </is>
      </c>
      <c r="F26" s="19" t="inlineStr">
        <is>
          <t>■</t>
        </is>
      </c>
      <c r="G26" s="4" t="n"/>
      <c r="H26" s="19" t="inlineStr">
        <is>
          <t>■</t>
        </is>
      </c>
      <c r="I26" s="19" t="inlineStr">
        <is>
          <t>■</t>
        </is>
      </c>
    </row>
    <row r="27" ht="24" customHeight="1">
      <c r="B27" s="2" t="inlineStr">
        <is>
          <t>攻击与施法 Attacks &amp; Spellcasting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4" t="n"/>
    </row>
    <row r="28" ht="20" customHeight="1">
      <c r="B28" s="11" t="inlineStr">
        <is>
          <t>武器 / 法术名称</t>
        </is>
      </c>
      <c r="C28" s="11" t="n"/>
      <c r="D28" s="11" t="inlineStr">
        <is>
          <t>攻击加值</t>
        </is>
      </c>
      <c r="E28" s="11" t="n"/>
      <c r="F28" s="11" t="inlineStr">
        <is>
          <t>伤害 / 类型</t>
        </is>
      </c>
      <c r="G28" s="11" t="n"/>
      <c r="H28" s="11" t="inlineStr">
        <is>
          <t>📝 攻击/施法补充说明</t>
        </is>
      </c>
      <c r="J28" s="11" t="n"/>
      <c r="K28" s="11" t="n"/>
    </row>
    <row r="29" ht="20" customHeight="1">
      <c r="B29" s="20" t="n"/>
      <c r="C29" s="20" t="n"/>
      <c r="D29" s="18" t="n"/>
      <c r="E29" s="20" t="n"/>
      <c r="F29" s="18" t="n"/>
      <c r="G29" s="20" t="n"/>
      <c r="H29" s="21" t="n"/>
      <c r="I29" s="6" t="n"/>
      <c r="J29" s="6" t="n"/>
      <c r="K29" s="6" t="n"/>
    </row>
    <row r="30" ht="20" customHeight="1">
      <c r="B30" s="6" t="n"/>
      <c r="C30" s="6" t="n"/>
      <c r="D30" s="15" t="n"/>
      <c r="E30" s="6" t="n"/>
      <c r="F30" s="15" t="n"/>
      <c r="G30" s="6" t="n"/>
      <c r="H30" s="6" t="n"/>
      <c r="I30" s="6" t="n"/>
      <c r="J30" s="6" t="n"/>
      <c r="K30" s="6" t="n"/>
    </row>
    <row r="31" ht="20" customHeight="1">
      <c r="B31" s="20" t="n"/>
      <c r="C31" s="20" t="n"/>
      <c r="D31" s="18" t="n"/>
      <c r="E31" s="20" t="n"/>
      <c r="F31" s="18" t="n"/>
      <c r="G31" s="20" t="n"/>
      <c r="H31" s="6" t="n"/>
      <c r="I31" s="6" t="n"/>
      <c r="J31" s="6" t="n"/>
      <c r="K31" s="6" t="n"/>
    </row>
    <row r="32" ht="20" customHeight="1">
      <c r="B32" s="6" t="n"/>
      <c r="C32" s="6" t="n"/>
      <c r="D32" s="15" t="n"/>
      <c r="E32" s="6" t="n"/>
      <c r="F32" s="15" t="n"/>
      <c r="G32" s="6" t="n"/>
      <c r="H32" s="6" t="n"/>
      <c r="I32" s="6" t="n"/>
      <c r="J32" s="6" t="n"/>
      <c r="K32" s="6" t="n"/>
    </row>
    <row r="33" ht="20" customHeight="1">
      <c r="B33" s="20" t="n"/>
      <c r="C33" s="20" t="n"/>
      <c r="D33" s="18" t="n"/>
      <c r="E33" s="20" t="n"/>
      <c r="F33" s="18" t="n"/>
      <c r="G33" s="20" t="n"/>
      <c r="H33" s="6" t="n"/>
      <c r="I33" s="6" t="n"/>
      <c r="J33" s="6" t="n"/>
      <c r="K33" s="6" t="n"/>
    </row>
    <row r="34" ht="20" customHeight="1">
      <c r="B34" s="6" t="n"/>
      <c r="C34" s="6" t="n"/>
      <c r="D34" s="15" t="n"/>
      <c r="E34" s="6" t="n"/>
      <c r="F34" s="15" t="n"/>
      <c r="G34" s="6" t="n"/>
      <c r="H34" s="6" t="n"/>
      <c r="I34" s="6" t="n"/>
      <c r="J34" s="6" t="n"/>
      <c r="K34" s="6" t="n"/>
    </row>
    <row r="35" ht="20" customHeight="1"/>
    <row r="36" ht="24" customHeight="1">
      <c r="B36" s="2" t="inlineStr">
        <is>
          <t>技能 Skills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4" t="n"/>
    </row>
    <row r="37" ht="20" customHeight="1">
      <c r="B37" s="11" t="inlineStr">
        <is>
          <t>技能</t>
        </is>
      </c>
      <c r="C37" s="11" t="inlineStr">
        <is>
          <t>关联属性</t>
        </is>
      </c>
      <c r="D37" s="11" t="inlineStr">
        <is>
          <t>熟练 ☐</t>
        </is>
      </c>
      <c r="H37" s="11" t="inlineStr">
        <is>
          <t>技能总值</t>
        </is>
      </c>
    </row>
    <row r="38" ht="20" customHeight="1">
      <c r="B38" s="6" t="inlineStr">
        <is>
          <t>特技 Acrobatics</t>
        </is>
      </c>
      <c r="C38" s="15" t="inlineStr">
        <is>
          <t>DEX</t>
        </is>
      </c>
      <c r="D38" s="15" t="b">
        <v>0</v>
      </c>
      <c r="H38" s="14">
        <f>F11+IF(D38=TRUE,2,0)</f>
        <v/>
      </c>
    </row>
    <row r="39" ht="20" customHeight="1">
      <c r="B39" s="20" t="inlineStr">
        <is>
          <t>动物驯养 Animal Handling</t>
        </is>
      </c>
      <c r="C39" s="18" t="inlineStr">
        <is>
          <t>WIS</t>
        </is>
      </c>
      <c r="D39" s="18" t="b">
        <v>0</v>
      </c>
      <c r="H39" s="9">
        <f>F14+IF(D39=TRUE,2,0)</f>
        <v/>
      </c>
    </row>
    <row r="40" ht="20" customHeight="1">
      <c r="B40" s="6" t="inlineStr">
        <is>
          <t>奥秘 Arcana</t>
        </is>
      </c>
      <c r="C40" s="15" t="inlineStr">
        <is>
          <t>INT</t>
        </is>
      </c>
      <c r="D40" s="15" t="b">
        <v>0</v>
      </c>
      <c r="H40" s="14">
        <f>F13+IF(D40=TRUE,2,0)</f>
        <v/>
      </c>
    </row>
    <row r="41" ht="20" customHeight="1">
      <c r="B41" s="20" t="inlineStr">
        <is>
          <t>运动 Athletics</t>
        </is>
      </c>
      <c r="C41" s="18" t="inlineStr">
        <is>
          <t>STR</t>
        </is>
      </c>
      <c r="D41" s="18" t="b">
        <v>0</v>
      </c>
      <c r="H41" s="9">
        <f>F10+IF(D41=TRUE,2,0)</f>
        <v/>
      </c>
    </row>
    <row r="42" ht="20" customHeight="1">
      <c r="B42" s="6" t="inlineStr">
        <is>
          <t>欺瞒 Deception</t>
        </is>
      </c>
      <c r="C42" s="15" t="inlineStr">
        <is>
          <t>CHA</t>
        </is>
      </c>
      <c r="D42" s="15" t="b">
        <v>0</v>
      </c>
      <c r="H42" s="14">
        <f>F15+IF(D42=TRUE,2,0)</f>
        <v/>
      </c>
    </row>
    <row r="43" ht="20" customHeight="1">
      <c r="B43" s="20" t="inlineStr">
        <is>
          <t>历史 History</t>
        </is>
      </c>
      <c r="C43" s="18" t="inlineStr">
        <is>
          <t>INT</t>
        </is>
      </c>
      <c r="D43" s="18" t="b">
        <v>0</v>
      </c>
      <c r="H43" s="9">
        <f>F13+IF(D43=TRUE,2,0)</f>
        <v/>
      </c>
    </row>
    <row r="44" ht="20" customHeight="1">
      <c r="B44" s="6" t="inlineStr">
        <is>
          <t>洞悉 Insight</t>
        </is>
      </c>
      <c r="C44" s="15" t="inlineStr">
        <is>
          <t>WIS</t>
        </is>
      </c>
      <c r="D44" s="15" t="b">
        <v>0</v>
      </c>
      <c r="H44" s="14">
        <f>F14+IF(D44=TRUE,2,0)</f>
        <v/>
      </c>
    </row>
    <row r="45" ht="20" customHeight="1">
      <c r="B45" s="20" t="inlineStr">
        <is>
          <t>威吓 Intimidation</t>
        </is>
      </c>
      <c r="C45" s="18" t="inlineStr">
        <is>
          <t>CHA</t>
        </is>
      </c>
      <c r="D45" s="18" t="b">
        <v>0</v>
      </c>
      <c r="H45" s="9">
        <f>F15+IF(D45=TRUE,2,0)</f>
        <v/>
      </c>
    </row>
    <row r="46" ht="20" customHeight="1">
      <c r="B46" s="6" t="inlineStr">
        <is>
          <t>调查 Investigation</t>
        </is>
      </c>
      <c r="C46" s="15" t="inlineStr">
        <is>
          <t>INT</t>
        </is>
      </c>
      <c r="D46" s="15" t="b">
        <v>0</v>
      </c>
      <c r="H46" s="14">
        <f>F13+IF(D46=TRUE,2,0)</f>
        <v/>
      </c>
    </row>
    <row r="47" ht="20" customHeight="1">
      <c r="B47" s="20" t="inlineStr">
        <is>
          <t>医药 Medicine</t>
        </is>
      </c>
      <c r="C47" s="18" t="inlineStr">
        <is>
          <t>WIS</t>
        </is>
      </c>
      <c r="D47" s="18" t="b">
        <v>0</v>
      </c>
      <c r="H47" s="9">
        <f>F14+IF(D47=TRUE,2,0)</f>
        <v/>
      </c>
    </row>
    <row r="48" ht="20" customHeight="1">
      <c r="B48" s="6" t="inlineStr">
        <is>
          <t>自然 Nature</t>
        </is>
      </c>
      <c r="C48" s="15" t="inlineStr">
        <is>
          <t>INT</t>
        </is>
      </c>
      <c r="D48" s="15" t="b">
        <v>0</v>
      </c>
      <c r="H48" s="14">
        <f>F13+IF(D48=TRUE,2,0)</f>
        <v/>
      </c>
    </row>
    <row r="49" ht="20" customHeight="1">
      <c r="B49" s="20" t="inlineStr">
        <is>
          <t>察觉 Perception</t>
        </is>
      </c>
      <c r="C49" s="18" t="inlineStr">
        <is>
          <t>WIS</t>
        </is>
      </c>
      <c r="D49" s="18" t="b">
        <v>0</v>
      </c>
      <c r="H49" s="9">
        <f>F14+IF(D49=TRUE,2,0)</f>
        <v/>
      </c>
    </row>
    <row r="50" ht="20" customHeight="1">
      <c r="B50" s="6" t="inlineStr">
        <is>
          <t>表演 Performance</t>
        </is>
      </c>
      <c r="C50" s="15" t="inlineStr">
        <is>
          <t>CHA</t>
        </is>
      </c>
      <c r="D50" s="15" t="b">
        <v>0</v>
      </c>
      <c r="H50" s="14">
        <f>F15+IF(D50=TRUE,2,0)</f>
        <v/>
      </c>
    </row>
    <row r="51" ht="20" customHeight="1">
      <c r="B51" s="20" t="inlineStr">
        <is>
          <t>游说 Persuasion</t>
        </is>
      </c>
      <c r="C51" s="18" t="inlineStr">
        <is>
          <t>CHA</t>
        </is>
      </c>
      <c r="D51" s="18" t="b">
        <v>0</v>
      </c>
      <c r="H51" s="9">
        <f>F15+IF(D51=TRUE,2,0)</f>
        <v/>
      </c>
    </row>
    <row r="52" ht="20" customHeight="1">
      <c r="B52" s="6" t="inlineStr">
        <is>
          <t>宗教 Religion</t>
        </is>
      </c>
      <c r="C52" s="15" t="inlineStr">
        <is>
          <t>INT</t>
        </is>
      </c>
      <c r="D52" s="15" t="b">
        <v>0</v>
      </c>
      <c r="H52" s="14">
        <f>F13+IF(D52=TRUE,2,0)</f>
        <v/>
      </c>
    </row>
    <row r="53" ht="20" customHeight="1">
      <c r="B53" s="20" t="inlineStr">
        <is>
          <t>巧手 Sleight of Hand</t>
        </is>
      </c>
      <c r="C53" s="18" t="inlineStr">
        <is>
          <t>DEX</t>
        </is>
      </c>
      <c r="D53" s="18" t="b">
        <v>0</v>
      </c>
      <c r="H53" s="9">
        <f>F11+IF(D53=TRUE,2,0)</f>
        <v/>
      </c>
    </row>
    <row r="54" ht="20" customHeight="1">
      <c r="B54" s="6" t="inlineStr">
        <is>
          <t>隐匿 Stealth</t>
        </is>
      </c>
      <c r="C54" s="15" t="inlineStr">
        <is>
          <t>DEX</t>
        </is>
      </c>
      <c r="D54" s="15" t="b">
        <v>0</v>
      </c>
      <c r="H54" s="14">
        <f>F11+IF(D54=TRUE,2,0)</f>
        <v/>
      </c>
    </row>
    <row r="55" ht="20" customHeight="1">
      <c r="B55" s="20" t="inlineStr">
        <is>
          <t>生存 Survival</t>
        </is>
      </c>
      <c r="C55" s="18" t="inlineStr">
        <is>
          <t>WIS</t>
        </is>
      </c>
      <c r="D55" s="18" t="b">
        <v>0</v>
      </c>
      <c r="H55" s="9">
        <f>F14+IF(D55=TRUE,2,0)</f>
        <v/>
      </c>
    </row>
    <row r="56" ht="20" customHeight="1"/>
    <row r="57" ht="24" customHeight="1">
      <c r="B57" s="2" t="inlineStr">
        <is>
          <t>特性与专长 Features &amp; Traits</t>
        </is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4" t="n"/>
    </row>
    <row r="58" ht="20" customHeight="1">
      <c r="B58" s="22" t="inlineStr">
        <is>
          <t>📋 职业特性  (选择职业后自动显示；子职业特性标注在[]内)</t>
        </is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4" t="n"/>
    </row>
    <row r="59" ht="210" customHeight="1">
      <c r="B59" s="23">
        <f>IFERROR(VLOOKUP($E$3&amp;"|"&amp;$E$4,'职业模板'!$T$2:$U$50,2,0),"请先选择职业和子职业")</f>
        <v/>
      </c>
    </row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>
      <c r="B66" s="22" t="inlineStr">
        <is>
          <t>⚡ 已选专长  (从下拉菜单选择；效果描述自动填充)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4" t="n"/>
    </row>
    <row r="67" ht="20" customHeight="1">
      <c r="B67" s="11" t="inlineStr">
        <is>
          <t>等级</t>
        </is>
      </c>
      <c r="C67" s="11" t="inlineStr">
        <is>
          <t>专长名称 ▼</t>
        </is>
      </c>
      <c r="D67" s="4" t="n"/>
      <c r="E67" s="11" t="inlineStr">
        <is>
          <t>效果描述 (自动)</t>
        </is>
      </c>
      <c r="F67" s="3" t="n"/>
      <c r="G67" s="3" t="n"/>
      <c r="H67" s="3" t="n"/>
      <c r="I67" s="3" t="n"/>
      <c r="J67" s="3" t="n"/>
      <c r="K67" s="4" t="n"/>
    </row>
    <row r="68" ht="52" customHeight="1">
      <c r="B68" s="9" t="inlineStr">
        <is>
          <t>3级专长</t>
        </is>
      </c>
      <c r="C68" s="24" t="n"/>
      <c r="D68" s="4" t="n"/>
      <c r="E68" s="25">
        <f>IFERROR(INDEX('专长参考'!$C$2:$C$29,MATCH(C68,'专长参考'!$B$2:$B$29,0)),"")</f>
        <v/>
      </c>
      <c r="F68" s="3" t="n"/>
      <c r="G68" s="3" t="n"/>
      <c r="H68" s="3" t="n"/>
      <c r="I68" s="3" t="n"/>
      <c r="J68" s="3" t="n"/>
      <c r="K68" s="4" t="n"/>
    </row>
    <row r="69" ht="52" customHeight="1">
      <c r="B69" s="14" t="inlineStr">
        <is>
          <t>3/5级专长</t>
        </is>
      </c>
      <c r="C69" s="26" t="n"/>
      <c r="D69" s="4" t="n"/>
      <c r="E69" s="8">
        <f>IFERROR(INDEX('专长参考'!$C$2:$C$29,MATCH(C69,'专长参考'!$B$2:$B$29,0)),"")</f>
        <v/>
      </c>
      <c r="F69" s="3" t="n"/>
      <c r="G69" s="3" t="n"/>
      <c r="H69" s="3" t="n"/>
      <c r="I69" s="3" t="n"/>
      <c r="J69" s="3" t="n"/>
      <c r="K69" s="4" t="n"/>
    </row>
    <row r="70" ht="52" customHeight="1">
      <c r="B70" s="9" t="inlineStr">
        <is>
          <t>3/5/8级专长</t>
        </is>
      </c>
      <c r="C70" s="24" t="n"/>
      <c r="D70" s="4" t="n"/>
      <c r="E70" s="25">
        <f>IFERROR(INDEX('专长参考'!$C$2:$C$29,MATCH(C70,'专长参考'!$B$2:$B$29,0)),"")</f>
        <v/>
      </c>
      <c r="F70" s="3" t="n"/>
      <c r="G70" s="3" t="n"/>
      <c r="H70" s="3" t="n"/>
      <c r="I70" s="3" t="n"/>
      <c r="J70" s="3" t="n"/>
      <c r="K70" s="4" t="n"/>
    </row>
    <row r="71" ht="20" customHeight="1"/>
    <row r="72" ht="20" customHeight="1"/>
    <row r="73" ht="40" customHeight="1">
      <c r="B73" s="27" t="inlineStr">
        <is>
          <t>📌 使用说明: ① E3选职业 → E4选子职业 → E6填等级 → 职业特性自动显示  ② 在已选专长栏下拉选择专长 → 效果自动填充  ③ C列基本数值+D列属性增加 → 所有调整值/技能/豁免自动计算</t>
        </is>
      </c>
    </row>
    <row r="74" ht="20" customHeight="1"/>
  </sheetData>
  <mergeCells count="53">
    <mergeCell ref="H28:K28"/>
    <mergeCell ref="C68:D68"/>
    <mergeCell ref="F29:G29"/>
    <mergeCell ref="E70:K70"/>
    <mergeCell ref="D34:E34"/>
    <mergeCell ref="F25:G25"/>
    <mergeCell ref="F34:G34"/>
    <mergeCell ref="B22:C22"/>
    <mergeCell ref="H29:K34"/>
    <mergeCell ref="D22:E22"/>
    <mergeCell ref="B24:K24"/>
    <mergeCell ref="H2:J2"/>
    <mergeCell ref="B31:C31"/>
    <mergeCell ref="D31:E31"/>
    <mergeCell ref="B36:K36"/>
    <mergeCell ref="F30:G30"/>
    <mergeCell ref="B2:F2"/>
    <mergeCell ref="F33:G33"/>
    <mergeCell ref="D32:E32"/>
    <mergeCell ref="F32:G32"/>
    <mergeCell ref="B3"/>
    <mergeCell ref="F26:G26"/>
    <mergeCell ref="E68:K68"/>
    <mergeCell ref="E67:K67"/>
    <mergeCell ref="B66:K66"/>
    <mergeCell ref="H6:J7"/>
    <mergeCell ref="B29:C29"/>
    <mergeCell ref="B27:K27"/>
    <mergeCell ref="H5:J5"/>
    <mergeCell ref="B34:C34"/>
    <mergeCell ref="F3"/>
    <mergeCell ref="B28:C28"/>
    <mergeCell ref="B58:K58"/>
    <mergeCell ref="F31:G31"/>
    <mergeCell ref="D28:E28"/>
    <mergeCell ref="F28:G28"/>
    <mergeCell ref="C70:D70"/>
    <mergeCell ref="B59:K65"/>
    <mergeCell ref="B30:C30"/>
    <mergeCell ref="E69:K69"/>
    <mergeCell ref="B1:K1"/>
    <mergeCell ref="B8:K8"/>
    <mergeCell ref="D30:E30"/>
    <mergeCell ref="B33:C33"/>
    <mergeCell ref="B57:K57"/>
    <mergeCell ref="B17:K17"/>
    <mergeCell ref="D33:E33"/>
    <mergeCell ref="D29:E29"/>
    <mergeCell ref="C67:D67"/>
    <mergeCell ref="B73:K73"/>
    <mergeCell ref="B32:C32"/>
    <mergeCell ref="H3:J4"/>
    <mergeCell ref="C69:D69"/>
  </mergeCells>
  <dataValidations count="11">
    <dataValidation sqref="E3" showDropDown="0" showInputMessage="0" showErrorMessage="1" allowBlank="1" errorTitle="输入错误" error="请从列表中选择职业" type="list">
      <formula1>'职业模板'!$A$2:$A$8</formula1>
    </dataValidation>
    <dataValidation sqref="E4" showDropDown="0" showInputMessage="0" showErrorMessage="0" allowBlank="1" type="list">
      <formula1>OFFSET('职业模板'!$P$2,MATCH($E$3,'职业模板'!$A$2:$A$8,0)-1,0,1,3)</formula1>
    </dataValidation>
    <dataValidation sqref="C5" showDropDown="0" showInputMessage="0" showErrorMessage="0" allowBlank="1" type="list">
      <formula1>"中国,美国,俄罗斯,英国,法国,德国,日本,韩国,印度,巴西,澳大利亚,加拿大,意大利,西班牙,墨西哥,印度尼西亚,土耳其,沙特阿拉伯,南非,阿根廷,埃及,泰国,越南,尼日利亚,瑞典,瑞士,荷兰,波兰,哥伦比亚,伊朗,其他"</formula1>
    </dataValidation>
    <dataValidation sqref="C6" showDropDown="0" showInputMessage="0" showErrorMessage="0" allowBlank="1" type="list">
      <formula1>"INTJ,INTP,ENTJ,ENTP,INFJ,INFP,ENFJ,ENFP,ISTJ,ISFJ,ESTJ,ESFJ,ISTP,ISFP,ESTP,ESFP"</formula1>
    </dataValidation>
    <dataValidation sqref="E5" showDropDown="0" showInputMessage="0" showErrorMessage="0" allowBlank="1" type="list">
      <formula1>"男性,女性,跨性别男性,跨性别女性,非二元性别,流动性别,双性别,间性人,无性别,其他/不愿透露"</formula1>
    </dataValidation>
    <dataValidation sqref="D10 D11 D12 D13 D14 D15" showDropDown="0" showInputMessage="0" showErrorMessage="0" allowBlank="0" type="list">
      <formula1>"0,1,2,3,4,5,6,7,8,9,10"</formula1>
    </dataValidation>
    <dataValidation sqref="C26 D26 E26 F26 H26 I26" showDropDown="0" showInputMessage="0" showErrorMessage="0" allowBlank="0" type="list">
      <formula1>"■,□"</formula1>
    </dataValidation>
    <dataValidation sqref="D38 D39 D40 D41 D42 D43 D44 D45 D46 D47 D48 D49 D50 D51 D52 D53 D54 D55" showDropDown="0" showInputMessage="0" showErrorMessage="0" allowBlank="0" type="list">
      <formula1>"TRUE,FALSE"</formula1>
    </dataValidation>
    <dataValidation sqref="C68" showDropDown="0" showInputMessage="0" showErrorMessage="0" allowBlank="1" type="list">
      <formula1>'专长参考'!$B$2:$B$15</formula1>
    </dataValidation>
    <dataValidation sqref="C69" showDropDown="0" showInputMessage="0" showErrorMessage="0" allowBlank="1" type="list">
      <formula1>'专长参考'!$B$2:$B$22</formula1>
    </dataValidation>
    <dataValidation sqref="C70" showDropDown="0" showInputMessage="0" showErrorMessage="0" allowBlank="1" type="list">
      <formula1>'专长参考'!$B$2:$B$29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4" customWidth="1" min="18" max="18"/>
    <col width="20" customWidth="1" min="20" max="20"/>
    <col width="60" customWidth="1" min="21" max="21"/>
    <col width="20" customWidth="1" min="23" max="23"/>
    <col width="10" customWidth="1" min="24" max="24"/>
  </cols>
  <sheetData>
    <row r="1">
      <c r="A1" s="11" t="inlineStr">
        <is>
          <t>职业</t>
        </is>
      </c>
      <c r="B1" s="11" t="inlineStr">
        <is>
          <t>STR 力量</t>
        </is>
      </c>
      <c r="C1" s="11" t="inlineStr">
        <is>
          <t>DEX 速度</t>
        </is>
      </c>
      <c r="D1" s="11" t="inlineStr">
        <is>
          <t>CON 耐力</t>
        </is>
      </c>
      <c r="E1" s="11" t="inlineStr">
        <is>
          <t>INT 控制</t>
        </is>
      </c>
      <c r="F1" s="11" t="inlineStr">
        <is>
          <t>WIS 精密</t>
        </is>
      </c>
      <c r="G1" s="11" t="inlineStr">
        <is>
          <t>CHA 魅力</t>
        </is>
      </c>
      <c r="H1" s="11" t="inlineStr">
        <is>
          <t>豁STR</t>
        </is>
      </c>
      <c r="I1" s="11" t="inlineStr">
        <is>
          <t>豁DEX</t>
        </is>
      </c>
      <c r="J1" s="11" t="inlineStr">
        <is>
          <t>豁CON</t>
        </is>
      </c>
      <c r="K1" s="11" t="inlineStr">
        <is>
          <t>豁INT</t>
        </is>
      </c>
      <c r="L1" s="11" t="inlineStr">
        <is>
          <t>豁WIS</t>
        </is>
      </c>
      <c r="M1" s="11" t="inlineStr">
        <is>
          <t>豁CHA</t>
        </is>
      </c>
      <c r="N1" s="11" t="inlineStr">
        <is>
          <t>生命驰</t>
        </is>
      </c>
      <c r="O1" s="11" t="inlineStr">
        <is>
          <t>AC基数</t>
        </is>
      </c>
      <c r="T1" s="28" t="inlineStr">
        <is>
          <t>查询键 (职业|子职业)</t>
        </is>
      </c>
      <c r="U1" s="28" t="inlineStr">
        <is>
          <t>职业特性文本</t>
        </is>
      </c>
      <c r="W1" s="28" t="inlineStr">
        <is>
          <t>职业/子职业</t>
        </is>
      </c>
      <c r="X1" s="28" t="inlineStr">
        <is>
          <t>默认速度</t>
        </is>
      </c>
    </row>
    <row r="2" ht="24" customHeight="1">
      <c r="A2" s="29" t="inlineStr">
        <is>
          <t>武道者</t>
        </is>
      </c>
      <c r="B2" s="15" t="n">
        <v>15</v>
      </c>
      <c r="C2" s="15" t="n">
        <v>10</v>
      </c>
      <c r="D2" s="15" t="n">
        <v>14</v>
      </c>
      <c r="E2" s="15" t="n">
        <v>12</v>
      </c>
      <c r="F2" s="15" t="n">
        <v>13</v>
      </c>
      <c r="G2" s="15" t="n">
        <v>8</v>
      </c>
      <c r="H2" s="15" t="n">
        <v>1</v>
      </c>
      <c r="I2" s="15" t="n">
        <v>1</v>
      </c>
      <c r="J2" s="15" t="n">
        <v>0</v>
      </c>
      <c r="K2" s="15" t="n">
        <v>0</v>
      </c>
      <c r="L2" s="15" t="n">
        <v>0</v>
      </c>
      <c r="M2" s="15" t="n">
        <v>0</v>
      </c>
      <c r="N2" s="15" t="inlineStr">
        <is>
          <t>d8</t>
        </is>
      </c>
      <c r="O2" s="15" t="n">
        <v>10</v>
      </c>
      <c r="P2" s="15" t="inlineStr">
        <is>
          <t>正统派</t>
        </is>
      </c>
      <c r="Q2" s="15" t="inlineStr">
        <is>
          <t>邪修派</t>
        </is>
      </c>
      <c r="R2" s="15" t="inlineStr">
        <is>
          <t>隐士</t>
        </is>
      </c>
      <c r="T2" t="inlineStr">
        <is>
          <t>武道者|</t>
        </is>
      </c>
      <c r="U2" s="30" t="inlineStr">
        <is>
          <t>【1级】 上升攻击(Upper Cut): 武道者自带的必杀技，与“升龙拳”类似，消耗1个动作，造成等同于你重攻击的伤害，击中敌人后造成强制倒地。该招式如果没有命中会进入受击“确反康”的状态。在受到跳跃攻击时可以以反应使用，成功时对方的该次跳跃攻击将不会造成伤害，但失败依然会进入受击“确反康”状态。如果在“倒地”或者“强制倒地“时成为近战攻击的目标，则可以以反应释放该技能的od版本（可以选择消耗“反应”或“斗气槽”）。
【1级】 自在极意: 上升攻击作为武道者的核心技能，每场战斗中，每次成功使用会使其基础伤害增加2，但角色每次濒死/死亡/眩晕都会重置此修正，战斗结束后重置此修正。
【1级】 气定神闲: 通过反应释放， 武道者受到徒手攻击伤害时可以获得一个1d4的伤害衰减修正。</t>
        </is>
      </c>
      <c r="W2" t="inlineStr">
        <is>
          <t>武道者</t>
        </is>
      </c>
      <c r="X2" t="n">
        <v>30</v>
      </c>
    </row>
    <row r="3" ht="24" customHeight="1">
      <c r="A3" s="31" t="inlineStr">
        <is>
          <t>军士</t>
        </is>
      </c>
      <c r="B3" s="18" t="n">
        <v>13</v>
      </c>
      <c r="C3" s="18" t="n">
        <v>14</v>
      </c>
      <c r="D3" s="18" t="n">
        <v>10</v>
      </c>
      <c r="E3" s="18" t="n">
        <v>15</v>
      </c>
      <c r="F3" s="18" t="n">
        <v>12</v>
      </c>
      <c r="G3" s="18" t="n">
        <v>8</v>
      </c>
      <c r="H3" s="18" t="n">
        <v>1</v>
      </c>
      <c r="I3" s="18" t="n">
        <v>0</v>
      </c>
      <c r="J3" s="18" t="n">
        <v>1</v>
      </c>
      <c r="K3" s="18" t="n">
        <v>0</v>
      </c>
      <c r="L3" s="18" t="n">
        <v>0</v>
      </c>
      <c r="M3" s="18" t="n">
        <v>0</v>
      </c>
      <c r="N3" s="18" t="inlineStr">
        <is>
          <t>d10</t>
        </is>
      </c>
      <c r="O3" s="18" t="n">
        <v>13</v>
      </c>
      <c r="P3" s="18" t="inlineStr">
        <is>
          <t>技巧型</t>
        </is>
      </c>
      <c r="Q3" s="18" t="inlineStr">
        <is>
          <t>力量型</t>
        </is>
      </c>
      <c r="R3" s="18" t="inlineStr">
        <is>
          <t>灵动型</t>
        </is>
      </c>
      <c r="T3" t="inlineStr">
        <is>
          <t>武道者|正统派</t>
        </is>
      </c>
      <c r="U3" s="30" t="inlineStr">
        <is>
          <t>【1级】 上升攻击(Upper Cut): 武道者自带的必杀技，与“升龙拳”类似，消耗1个动作，造成等同于你重攻击的伤害，击中敌人后造成强制倒地。该招式如果没有命中会进入受击“确反康”的状态。在受到跳跃攻击时可以以反应使用，成功时对方的该次跳跃攻击将不会造成伤害，但失败依然会进入受击“确反康”状态。如果在“倒地”或者“强制倒地“时成为近战攻击的目标，则可以以反应释放该技能的od版本（可以选择消耗“反应”或“斗气槽”）。
【1级】 自在极意: 上升攻击作为武道者的核心技能，每场战斗中，每次成功使用会使其基础伤害增加2，但角色每次濒死/死亡/眩晕都会重置此修正，战斗结束后重置此修正。
【1级】 气定神闲: 通过反应释放， 武道者受到徒手攻击伤害时可以获得一个1d4的伤害衰减修正。
【1级】 身法: 对手的徒手攻击如果未能命中你，一回合内，你对其攻击产生“确反康”并获得优势掷骰；对手的飞行道具如果未能命中你，你下个飞行道具必定会命中该对手。
【1级】 步法: 你使用普通技之后可以无消耗的移动5尺，且不会触发借机攻击。
【8级解锁】 登峰造极: 正统派的上升攻击后取消超级必杀技时，该场战斗剩余时间里上升攻击会造成双倍伤害。</t>
        </is>
      </c>
      <c r="W3" t="inlineStr">
        <is>
          <t>正统派</t>
        </is>
      </c>
      <c r="X3" t="n">
        <v>30</v>
      </c>
    </row>
    <row r="4" ht="24" customHeight="1">
      <c r="A4" s="29" t="inlineStr">
        <is>
          <t>蛮勇斗士</t>
        </is>
      </c>
      <c r="B4" s="15" t="n">
        <v>14</v>
      </c>
      <c r="C4" s="15" t="n">
        <v>10</v>
      </c>
      <c r="D4" s="15" t="n">
        <v>15</v>
      </c>
      <c r="E4" s="15" t="n">
        <v>13</v>
      </c>
      <c r="F4" s="15" t="n">
        <v>12</v>
      </c>
      <c r="G4" s="15" t="n">
        <v>8</v>
      </c>
      <c r="H4" s="15" t="n">
        <v>1</v>
      </c>
      <c r="I4" s="15" t="n">
        <v>0</v>
      </c>
      <c r="J4" s="15" t="n">
        <v>1</v>
      </c>
      <c r="K4" s="15" t="n">
        <v>0</v>
      </c>
      <c r="L4" s="15" t="n">
        <v>0</v>
      </c>
      <c r="M4" s="15" t="n">
        <v>0</v>
      </c>
      <c r="N4" s="15" t="inlineStr">
        <is>
          <t>d12</t>
        </is>
      </c>
      <c r="O4" s="15" t="n">
        <v>10</v>
      </c>
      <c r="P4" s="15" t="inlineStr">
        <is>
          <t>摔角手</t>
        </is>
      </c>
      <c r="Q4" s="15" t="inlineStr">
        <is>
          <t>丛林猎手</t>
        </is>
      </c>
      <c r="R4" s="15" t="inlineStr">
        <is>
          <t>推土机</t>
        </is>
      </c>
      <c r="T4" t="inlineStr">
        <is>
          <t>武道者|邪修派</t>
        </is>
      </c>
      <c r="U4" s="30" t="inlineStr">
        <is>
          <t>【1级】 上升攻击(Upper Cut): 武道者自带的必杀技，与“升龙拳”类似，消耗1个动作，造成等同于你重攻击的伤害，击中敌人后造成强制倒地。该招式如果没有命中会进入受击“确反康”的状态。在受到跳跃攻击时可以以反应使用，成功时对方的该次跳跃攻击将不会造成伤害，但失败依然会进入受击“确反康”状态。如果在“倒地”或者“强制倒地“时成为近战攻击的目标，则可以以反应释放该技能的od版本（可以选择消耗“反应”或“斗气槽”）。
【1级】 自在极意: 上升攻击作为武道者的核心技能，每场战斗中，每次成功使用会使其基础伤害增加2，但角色每次濒死/死亡/眩晕都会重置此修正，战斗结束后重置此修正。
【1级】 气定神闲: 通过反应释放， 武道者受到徒手攻击伤害时可以获得一个1d4的伤害衰减修正。
【1级】 走火入魔: 你的所有攻击都会获得优势骰，所有受击都会陷入劣势骰。
【1级】 修罗之道: 击杀会获得2+1d6的生命值恢复。溢出部分会转化为临时生命值。
【1级】 你再看看你后面呢: 你在对手身后/视野之外发动的进攻会获得额外10尺的距离。以此方法发动的攻击必定命中，攻击时会闪身到对手身旁。脆弱的对手会“受惊”。
【1级】 跑快快！: 邪修派武道者获得额外10尺的移动距离。
【8级解锁】 彻底疯狂: 你释放超级必杀技后会陷入“修罗”状态：所有攻击必定会命中，所有受击也必定会命中。必杀技取消不会有伤害修正。角色濒死/死亡/眩晕后结束。战斗结束后也会结束此状态。</t>
        </is>
      </c>
      <c r="W4" t="inlineStr">
        <is>
          <t>邪修派</t>
        </is>
      </c>
      <c r="X4" t="n">
        <v>40</v>
      </c>
    </row>
    <row r="5" ht="24" customHeight="1">
      <c r="A5" s="31" t="inlineStr">
        <is>
          <t>刽子手</t>
        </is>
      </c>
      <c r="B5" s="18" t="n">
        <v>12</v>
      </c>
      <c r="C5" s="18" t="n">
        <v>13</v>
      </c>
      <c r="D5" s="18" t="n">
        <v>8</v>
      </c>
      <c r="E5" s="18" t="n">
        <v>15</v>
      </c>
      <c r="F5" s="18" t="n">
        <v>14</v>
      </c>
      <c r="G5" s="18" t="n">
        <v>10</v>
      </c>
      <c r="H5" s="18" t="n">
        <v>0</v>
      </c>
      <c r="I5" s="18" t="n">
        <v>1</v>
      </c>
      <c r="J5" s="18" t="n">
        <v>0</v>
      </c>
      <c r="K5" s="18" t="n">
        <v>1</v>
      </c>
      <c r="L5" s="18" t="n">
        <v>0</v>
      </c>
      <c r="M5" s="18" t="n">
        <v>0</v>
      </c>
      <c r="N5" s="18" t="inlineStr">
        <is>
          <t>d8</t>
        </is>
      </c>
      <c r="O5" s="18" t="n">
        <v>11</v>
      </c>
      <c r="P5" s="18" t="inlineStr">
        <is>
          <t>刺杀者</t>
        </is>
      </c>
      <c r="Q5" s="18" t="inlineStr">
        <is>
          <t>荣誉行刑官</t>
        </is>
      </c>
      <c r="R5" s="18" t="inlineStr"/>
      <c r="T5" t="inlineStr">
        <is>
          <t>武道者|隐士</t>
        </is>
      </c>
      <c r="U5" s="30" t="inlineStr">
        <is>
          <t>【1级】 上升攻击(Upper Cut): 武道者自带的必杀技，与“升龙拳”类似，消耗1个动作，造成等同于你重攻击的伤害，击中敌人后造成强制倒地。该招式如果没有命中会进入受击“确反康”的状态。在受到跳跃攻击时可以以反应使用，成功时对方的该次跳跃攻击将不会造成伤害，但失败依然会进入受击“确反康”状态。如果在“倒地”或者“强制倒地“时成为近战攻击的目标，则可以以反应释放该技能的od版本（可以选择消耗“反应”或“斗气槽”）。
【1级】 自在极意: 上升攻击作为武道者的核心技能，每场战斗中，每次成功使用会使其基础伤害增加2，但角色每次濒死/死亡/眩晕都会重置此修正，战斗结束后重置此修正。
【1级】 气定神闲: 通过反应释放， 武道者受到徒手攻击伤害时可以获得一个1d4的伤害衰减修正。
【1级】 独门绝技: 隐士拥有自己的一个独门绝技（为角色基础必杀技，玩家可以自行设计），该技能对第一次见到的对手必定命中，且必定造成最大命中伤害，无法被反应。
【1级】 不被世人关注的存在感: 战斗中，如果隐士连续两回合没有造成和受到伤害，隐士会进入“隐身”。直到发起进攻，受到范围伤害，或者被隐身感知观察到。
【8级解锁】 高级隐身: 隐士使用超级必杀技后会进入“高级隐身”，持续至多2个回合，其中即使造成和受到伤害也不会现身，且下次使用的独门绝技将会视为对手第一次见到此技。</t>
        </is>
      </c>
      <c r="W5" t="inlineStr">
        <is>
          <t>隐士</t>
        </is>
      </c>
      <c r="X5" t="n">
        <v>30</v>
      </c>
    </row>
    <row r="6" ht="24" customHeight="1">
      <c r="A6" s="29" t="inlineStr">
        <is>
          <t>牵制者</t>
        </is>
      </c>
      <c r="B6" s="15" t="n">
        <v>8</v>
      </c>
      <c r="C6" s="15" t="n">
        <v>12</v>
      </c>
      <c r="D6" s="15" t="n">
        <v>10</v>
      </c>
      <c r="E6" s="15" t="n">
        <v>14</v>
      </c>
      <c r="F6" s="15" t="n">
        <v>15</v>
      </c>
      <c r="G6" s="15" t="n">
        <v>13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1</v>
      </c>
      <c r="M6" s="15" t="n">
        <v>1</v>
      </c>
      <c r="N6" s="15" t="inlineStr">
        <is>
          <t>d8</t>
        </is>
      </c>
      <c r="O6" s="15" t="n">
        <v>10</v>
      </c>
      <c r="P6" s="15" t="inlineStr">
        <is>
          <t>重炮手</t>
        </is>
      </c>
      <c r="Q6" s="15" t="inlineStr">
        <is>
          <t>速射手</t>
        </is>
      </c>
      <c r="R6" s="15" t="inlineStr"/>
      <c r="T6" t="inlineStr">
        <is>
          <t>军士|</t>
        </is>
      </c>
      <c r="U6" s="30" t="inlineStr">
        <is>
          <t>【1级】 专业素养: 军士不会轻易受到言语上的挑衅，也不会受到魅惑。抵抗来自此类技能效果的减益会获得优势检定（=对手获得劣势检定）。
【1级】 无间配合: 军士非常擅长协同作战。你命中其他队友打入特殊状态的敌人会将其击飞。如果是两个军士在一回合内命中同一个目标时，该敌人还会受到额外的1+1d6的伤害。
【1级】 不屈: 军士受过严酷的意志力训练，体力值归0时不会倒地濒死而是继续作战。2回合内受到治疗，或者击杀1名敌人，则会从此状态恢复。再次受到伤害，或者2回合后如果未能取得击杀，则会直接死亡。不屈时，军士移动力减半，但攻击会获得优势命中。每场战斗可以重复触发。</t>
        </is>
      </c>
      <c r="W6" t="inlineStr">
        <is>
          <t>军士</t>
        </is>
      </c>
      <c r="X6" t="n">
        <v>30</v>
      </c>
    </row>
    <row r="7" ht="24" customHeight="1">
      <c r="A7" s="31" t="inlineStr">
        <is>
          <t>影罗残党</t>
        </is>
      </c>
      <c r="B7" s="18" t="n">
        <v>13</v>
      </c>
      <c r="C7" s="18" t="n">
        <v>8</v>
      </c>
      <c r="D7" s="18" t="n">
        <v>10</v>
      </c>
      <c r="E7" s="18" t="n">
        <v>15</v>
      </c>
      <c r="F7" s="18" t="n">
        <v>14</v>
      </c>
      <c r="G7" s="18" t="n">
        <v>12</v>
      </c>
      <c r="H7" s="18" t="n">
        <v>0</v>
      </c>
      <c r="I7" s="18" t="n">
        <v>1</v>
      </c>
      <c r="J7" s="18" t="n">
        <v>0</v>
      </c>
      <c r="K7" s="18" t="n">
        <v>0</v>
      </c>
      <c r="L7" s="18" t="n">
        <v>1</v>
      </c>
      <c r="M7" s="18" t="n">
        <v>0</v>
      </c>
      <c r="N7" s="18" t="inlineStr">
        <is>
          <t>d10</t>
        </is>
      </c>
      <c r="O7" s="18" t="n">
        <v>11</v>
      </c>
      <c r="P7" s="18" t="inlineStr">
        <is>
          <t>统领</t>
        </is>
      </c>
      <c r="Q7" s="18" t="inlineStr">
        <is>
          <t>教头</t>
        </is>
      </c>
      <c r="R7" s="18" t="inlineStr">
        <is>
          <t>黑手</t>
        </is>
      </c>
      <c r="T7" t="inlineStr">
        <is>
          <t>军士|技巧型</t>
        </is>
      </c>
      <c r="U7" s="30" t="inlineStr">
        <is>
          <t>【1级】 专业素养: 军士不会轻易受到言语上的挑衅，也不会受到魅惑。抵抗来自此类技能效果的减益会获得优势检定（=对手获得劣势检定）。
【1级】 无间配合: 军士非常擅长协同作战。你命中其他队友打入特殊状态的敌人会将其击飞。如果是两个军士在一回合内命中同一个目标时，该敌人还会受到额外的1+1d6的伤害。
【1级】 不屈: 军士受过严酷的意志力训练，体力值归0时不会倒地濒死而是继续作战。2回合内受到治疗，或者击杀1名敌人，则会从此状态恢复。再次受到伤害，或者2回合后如果未能取得击杀，则会直接死亡。不屈时，军士移动力减半，但攻击会获得优势命中。每场战斗可以重复触发。
【1级】 连续技: 每回合，对陷入特殊状态的对手可以使用一次无消耗的非OD版本必杀技。该必杀技会有(1d6 -熟练项调整)的惩罚。
【1级】 斗气连携: 使用OD必杀技之后的一回合内，所有OD技只会消耗1格斗气。
【8级解锁】 完美谢幕: 你的超级必杀技必定命中特殊状态的敌人（包括强制倒地）。本场战斗中每次使用必杀技都会使超级必杀技增加2点伤害（且该部分伤害不会被修正影响）。</t>
        </is>
      </c>
      <c r="W7" t="inlineStr">
        <is>
          <t>技巧型</t>
        </is>
      </c>
      <c r="X7" t="n">
        <v>30</v>
      </c>
    </row>
    <row r="8" ht="24" customHeight="1">
      <c r="A8" s="29" t="inlineStr">
        <is>
          <t>道具师</t>
        </is>
      </c>
      <c r="B8" s="15" t="n">
        <v>12</v>
      </c>
      <c r="C8" s="15" t="n">
        <v>14</v>
      </c>
      <c r="D8" s="15" t="n">
        <v>10</v>
      </c>
      <c r="E8" s="15" t="n">
        <v>8</v>
      </c>
      <c r="F8" s="15" t="n">
        <v>15</v>
      </c>
      <c r="G8" s="15" t="n">
        <v>13</v>
      </c>
      <c r="H8" s="15" t="n">
        <v>0</v>
      </c>
      <c r="I8" s="15" t="n">
        <v>0</v>
      </c>
      <c r="J8" s="15" t="n">
        <v>1</v>
      </c>
      <c r="K8" s="15" t="n">
        <v>1</v>
      </c>
      <c r="L8" s="15" t="n">
        <v>0</v>
      </c>
      <c r="M8" s="15" t="n">
        <v>0</v>
      </c>
      <c r="N8" s="15" t="inlineStr">
        <is>
          <t>d8</t>
        </is>
      </c>
      <c r="O8" s="15" t="n">
        <v>10</v>
      </c>
      <c r="P8" s="15" t="inlineStr">
        <is>
          <t>特工</t>
        </is>
      </c>
      <c r="Q8" s="15" t="inlineStr">
        <is>
          <t>影</t>
        </is>
      </c>
      <c r="R8" s="15" t="inlineStr"/>
      <c r="T8" t="inlineStr">
        <is>
          <t>军士|力量型</t>
        </is>
      </c>
      <c r="U8" s="30" t="inlineStr">
        <is>
          <t>【1级】 专业素养: 军士不会轻易受到言语上的挑衅，也不会受到魅惑。抵抗来自此类技能效果的减益会获得优势检定（=对手获得劣势检定）。
【1级】 无间配合: 军士非常擅长协同作战。你命中其他队友打入特殊状态的敌人会将其击飞。如果是两个军士在一回合内命中同一个目标时，该敌人还会受到额外的1+1d6的伤害。
【1级】 不屈: 军士受过严酷的意志力训练，体力值归0时不会倒地濒死而是继续作战。2回合内受到治疗，或者击杀1名敌人，则会从此状态恢复。再次受到伤害，或者2回合后如果未能取得击杀，则会直接死亡。不屈时，军士移动力减半，但攻击会获得优势命中。每场战斗可以重复触发。
【1级】 塔盾: 消耗80%的移动力。1个回合内，你会携带“霸体”。霸体状态角色的行动无法被反应。霸体角色受到的强制位移会被显著削弱。
【1级】 当身: 近战攻击命中你的“霸体状态”时，攻击者会受到一个等同于你轻攻击的伤害，并进行一个体质检定，如果检定失败，你对其下次攻击会处于优势。
【1级】 谁需要来一记重拳！: 你击飞的敌人会飞的更高。你造成特殊状态时，会对对手造成一个额外的（1d4+力量调整）的伤害。
【8级解锁】 猛然冲击: 你的超级必杀技会给予你持续2回合的“霸体”。位于你超级必杀技释放路径/范围内的所有其他敌人都会受到30%的该超级必杀技伤害。</t>
        </is>
      </c>
      <c r="W8" t="inlineStr">
        <is>
          <t>力量型</t>
        </is>
      </c>
      <c r="X8" t="n">
        <v>30</v>
      </c>
    </row>
    <row r="9" ht="24" customHeight="1">
      <c r="T9" t="inlineStr">
        <is>
          <t>军士|灵动型</t>
        </is>
      </c>
      <c r="U9" s="30" t="inlineStr">
        <is>
          <t>【1级】 专业素养: 军士不会轻易受到言语上的挑衅，也不会受到魅惑。抵抗来自此类技能效果的减益会获得优势检定（=对手获得劣势检定）。
【1级】 无间配合: 军士非常擅长协同作战。你命中其他队友打入特殊状态的敌人会将其击飞。如果是两个军士在一回合内命中同一个目标时，该敌人还会受到额外的1+1d6的伤害。
【1级】 不屈: 军士受过严酷的意志力训练，体力值归0时不会倒地濒死而是继续作战。2回合内受到治疗，或者击杀1名敌人，则会从此状态恢复。再次受到伤害，或者2回合后如果未能取得击杀，则会直接死亡。不屈时，军士移动力减半，但攻击会获得优势命中。每场战斗可以重复触发。
【1级】 奇袭: 你从与对手不同地形位置发起的进攻具有优势。你擅长在各种地形上移动（不会消耗额外移动力）。
【1级】 飞檐走壁: 你可以在墙壁/天花板等类似地形停留最多一个回合。
【1级】 跑快快！: 速度型军士获得额外10尺的移动距离。
【8级解锁】 红色delta强袭: 在特殊地形时：你可以在队友攻击后释放你的超级必杀技。若如此做，你的超级必杀技必定会命中对手，但是队友回合会就此结束，你可以开始一个新的回合。如果你是队伍中唯一存活的角色，你可以在任意角色行动时释放你的超级必杀技。</t>
        </is>
      </c>
      <c r="W9" t="inlineStr">
        <is>
          <t>灵动型</t>
        </is>
      </c>
      <c r="X9" t="n">
        <v>40</v>
      </c>
    </row>
    <row r="10" ht="24" customHeight="1">
      <c r="T10" t="inlineStr">
        <is>
          <t>蛮勇斗士|</t>
        </is>
      </c>
      <c r="U10" s="30" t="inlineStr">
        <is>
          <t>【1级】 暴力本能: 蛮勇斗士可以以一个附赠动作进入“狂暴”状态，每次长休后你可使用的狂暴次数等于（你的等级/3）+1。狂暴状态时，你的普通技都会等同于附带最大可使用狂暴状态次数的伤害；你的力量检定和力量豁免具有优势；拥有对轻/中攻击的抗性（受到伤害为50%）。“狂暴”状态的角色无法使用飞行道具。如果角色被击晕，强制倒地，或者一回合内未造成/受到伤害，狂暴状态解除。你也可以主动结束狂暴状态。
【1级】 凶蛮重击: 你的普通技重击可以获得一个额外的伤害骰子（等同于该动作所使用的骰子）。8级时你可以再获得一个。</t>
        </is>
      </c>
      <c r="W10" t="inlineStr">
        <is>
          <t>蛮勇斗士</t>
        </is>
      </c>
      <c r="X10" t="n">
        <v>30</v>
      </c>
    </row>
    <row r="11" ht="24" customHeight="1">
      <c r="T11" t="inlineStr">
        <is>
          <t>蛮勇斗士|摔角手</t>
        </is>
      </c>
      <c r="U11" s="30" t="inlineStr">
        <is>
          <t>【1级】 暴力本能: 蛮勇斗士可以以一个附赠动作进入“狂暴”状态，每次长休后你可使用的狂暴次数等于（你的等级/3）+1。狂暴状态时，你的普通技都会等同于附带最大可使用狂暴状态次数的伤害；你的力量检定和力量豁免具有优势；拥有对轻/中攻击的抗性（受到伤害为50%）。“狂暴”状态的角色无法使用飞行道具。如果角色被击晕，强制倒地，或者一回合内未造成/受到伤害，狂暴状态解除。你也可以主动结束狂暴状态。
【1级】 凶蛮重击: 你的普通技重击可以获得一个额外的伤害骰子（等同于该动作所使用的骰子）。8级时你可以再获得一个。
【1级】 歌莉娅巨人: 你的“狂暴”会让你的身形变大。巨大化时受到位移效果显著降低；你可以轻松举起比你体型小的敌人，对这类敌人的指令投技能具有优势。会随着体型与对手体型的差值获得更多优势（由dm描述决定）。
【1级】 坦克引擎: 你的指令投系技能击杀对手时会获得3点最大生命值。
【8级解锁】 大爆炸: 你的超级必杀技必定会命中体型小于你的敌人。在剩余战斗时间里你的体型会保持巨大化（可以与狂暴巨大叠加），且力量会直接升至21。</t>
        </is>
      </c>
      <c r="W11" t="inlineStr">
        <is>
          <t>摔角手</t>
        </is>
      </c>
      <c r="X11" t="n">
        <v>30</v>
      </c>
    </row>
    <row r="12" ht="24" customHeight="1">
      <c r="T12" t="inlineStr">
        <is>
          <t>蛮勇斗士|丛林猎手</t>
        </is>
      </c>
      <c r="U12" s="30" t="inlineStr">
        <is>
          <t>【1级】 暴力本能: 蛮勇斗士可以以一个附赠动作进入“狂暴”状态，每次长休后你可使用的狂暴次数等于（你的等级/3）+1。狂暴状态时，你的普通技都会等同于附带最大可使用狂暴状态次数的伤害；你的力量检定和力量豁免具有优势；拥有对轻/中攻击的抗性（受到伤害为50%）。“狂暴”状态的角色无法使用飞行道具。如果角色被击晕，强制倒地，或者一回合内未造成/受到伤害，狂暴状态解除。你也可以主动结束狂暴状态。
【1级】 凶蛮重击: 你的普通技重击可以获得一个额外的伤害骰子（等同于该动作所使用的骰子）。8级时你可以再获得一个。
【1级】 猿神启动: 你的狂暴会让你身上流淌一种自然元素（毒，冰，火，电，选1），你的近战攻击会携带该元素效果并以该元素伤害作为额外狂暴伤害。
【1级】 野性: 你对敌人造成的元素效果伤害可以叠加，对手回合开始时会进行体质豁免检定，没有通过则会保留层数，通过则会重置。每个元素分别对应以下效果：
a.毒：每回合受1d6+体质熟练的毒伤害。5层触发毒爆，对10尺内敌造成1d10+熟练毒伤害。
b.冰：每层减20%移动。5层触发冰暴，束缚10尺内敌造1d10+熟练伤害。
c.火：移动痕迹留火，对经过者造1d6+熟练燃烧伤。5层触发爆炸，造1d20+熟练伤害，火留3回合。
d.电：每层1d4+熟练闪电伤害。多带电敌人受连锁总层数伤害。场上总5层引发雷电猛击：眩晕1回并受1d10+熟练伤害。
【8级解锁】 野性爆发: 使用超级必杀技后，你可以选择一种自然元素并保留该元素效果直至该场战斗结束，可以与猿神启动叠加（你可以选两个一样元素来达到双倍叠层，或者不同元素来达到多重效果）。</t>
        </is>
      </c>
      <c r="W12" t="inlineStr">
        <is>
          <t>丛林猎手</t>
        </is>
      </c>
      <c r="X12" t="n">
        <v>30</v>
      </c>
    </row>
    <row r="13" ht="24" customHeight="1">
      <c r="T13" t="inlineStr">
        <is>
          <t>蛮勇斗士|推土机</t>
        </is>
      </c>
      <c r="U13" s="30" t="inlineStr">
        <is>
          <t>【1级】 暴力本能: 蛮勇斗士可以以一个附赠动作进入“狂暴”状态，每次长休后你可使用的狂暴次数等于（你的等级/3）+1。狂暴状态时，你的普通技都会等同于附带最大可使用狂暴状态次数的伤害；你的力量检定和力量豁免具有优势；拥有对轻/中攻击的抗性（受到伤害为50%）。“狂暴”状态的角色无法使用飞行道具。如果角色被击晕，强制倒地，或者一回合内未造成/受到伤害，狂暴状态解除。你也可以主动结束狂暴状态。
【1级】 凶蛮重击: 你的普通技重击可以获得一个额外的伤害骰子（等同于该动作所使用的骰子）。8级时你可以再获得一个。
【1级】 大力士: 你的“狂暴“会让你的所有攻击附带”击退“效果，无论是否造成伤害（但”挥空“时不会推开）。你的”击退“会与地形产生互动。击退的距离与攻击方式，攻击强度，和对手体型相关（由dm描述决定）。如果你攻击本身就附带特殊状态效果，则不会击退。对已经处于特殊状态（如浮空，倒地等）的角色产生的击退效果更强，与地形的互动也会更有效。
【1级】 几何学: 通过反应施放，如果附近有一名角色被击退到你附近你可以对他们再一次进行击退（可以随意选择方向），造成等同于他们上次击退受到的伤害。
【8级解锁】 天崩地裂: 你的超级必杀技会在目标角色周围砸出一个直径20尺的圆形墙壁地形，持续到你或者目标死亡（可被破坏或者局部破坏）。如果在室内释放，则会将该部分区域强制转化为直径20尺的竞技场。所有与该墙壁互动的角色都会受到额外的1d6的伤害。</t>
        </is>
      </c>
      <c r="W13" t="inlineStr">
        <is>
          <t>推土机</t>
        </is>
      </c>
      <c r="X13" t="n">
        <v>30</v>
      </c>
    </row>
    <row r="14" ht="24" customHeight="1">
      <c r="T14" t="inlineStr">
        <is>
          <t>刽子手|</t>
        </is>
      </c>
      <c r="U14" s="30" t="inlineStr">
        <is>
          <t>【1级】 最后一击: 每场战斗开始时刽子手会进行一个“处决”判定（1d4+力量熟练调整），如果刽子手的攻击使一名角色血量降低至该处决值以下，则会直接击杀该目标，并获得来自x公司的金钱提成（取决于击杀目标的价值）。
【1级】 背刺: 从身后/未被发现/先攻时发起的进攻会附带优势，并造成额外的1d6的伤害（每回合最多一次）。</t>
        </is>
      </c>
      <c r="W14" t="inlineStr">
        <is>
          <t>刽子手</t>
        </is>
      </c>
      <c r="X14" t="n">
        <v>30</v>
      </c>
    </row>
    <row r="15" ht="24" customHeight="1">
      <c r="T15" t="inlineStr">
        <is>
          <t>刽子手|刺杀者</t>
        </is>
      </c>
      <c r="U15" s="30" t="inlineStr">
        <is>
          <t>【1级】 最后一击: 每场战斗开始时刽子手会进行一个“处决”判定（1d4+力量熟练调整），如果刽子手的攻击使一名角色血量降低至该处决值以下，则会直接击杀该目标，并获得来自x公司的金钱提成（取决于击杀目标的价值）。
【1级】 背刺: 从身后/未被发现/先攻时发起的进攻会附带优势，并造成额外的1d6的伤害（每回合最多一次）。
【1级】 终结标记: 你每次必杀技命中时都会获得1个1d6的“终结骰“，你可以在之后的必杀技命中时选择是否使用。使用时，会消耗所有已积攒的”终结骰“来对对手造成额外伤害。终结骰最多可以积攒5个。
【1级】 余罪赦免: 你受到致命伤害时，可以消耗所有的“终结骰“，你恢复到该数量的生命值。每次长休只能触发一次。
【8级解锁】 终审 · 命定之死: 释放超级必杀技后，你所有的“终结骰“会升级成每个1d10的骰子，持续到战斗结束。</t>
        </is>
      </c>
      <c r="W15" t="inlineStr">
        <is>
          <t>刺杀者</t>
        </is>
      </c>
      <c r="X15" t="n">
        <v>35</v>
      </c>
    </row>
    <row r="16" ht="24" customHeight="1">
      <c r="T16" t="inlineStr">
        <is>
          <t>刽子手|荣誉行刑官</t>
        </is>
      </c>
      <c r="U16" s="30" t="inlineStr">
        <is>
          <t>【1级】 最后一击: 每场战斗开始时刽子手会进行一个“处决”判定（1d4+力量熟练调整），如果刽子手的攻击使一名角色血量降低至该处决值以下，则会直接击杀该目标，并获得来自x公司的金钱提成（取决于击杀目标的价值）。
【1级】 背刺: 从身后/未被发现/先攻时发起的进攻会附带优势，并造成额外的1d6的伤害（每回合最多一次）。</t>
        </is>
      </c>
      <c r="W16" t="inlineStr">
        <is>
          <t>荣耀行刑官</t>
        </is>
      </c>
      <c r="X16" t="n">
        <v>30</v>
      </c>
    </row>
    <row r="17" ht="24" customHeight="1">
      <c r="T17" t="inlineStr">
        <is>
          <t>牵制者|</t>
        </is>
      </c>
      <c r="U17" s="30" t="inlineStr">
        <is>
          <t>【1级】 火力覆盖: 你的飞行道具系必杀技可以通过附赠动作释放。你飞行道具系必杀技的od版本只消耗1格斗气槽。
【1级】 射击专精: 可开关状态，不能在同一回合内同时开关。你对15尺以外的无掩体敌人的攻击带有优势。5尺以内的敌人对你的攻击带有优势。</t>
        </is>
      </c>
      <c r="W17" t="inlineStr">
        <is>
          <t>牵制者</t>
        </is>
      </c>
      <c r="X17" t="n">
        <v>30</v>
      </c>
    </row>
    <row r="18" ht="24" customHeight="1">
      <c r="T18" t="inlineStr">
        <is>
          <t>牵制者|重炮手</t>
        </is>
      </c>
      <c r="U18" s="30" t="inlineStr">
        <is>
          <t>【1级】 火力覆盖: 你的飞行道具系必杀技可以通过附赠动作释放。你飞行道具系必杀技的od版本只消耗1格斗气槽。
【1级】 射击专精: 可开关状态，不能在同一回合内同时开关。你对15尺以外的无掩体敌人的攻击带有优势。5尺以内的敌人对你的攻击带有优势。
【1级】 让子弹飞一会: 你所有的非od的飞行道具系必杀技会在你释放之后缓慢飞行，追踪并在对手回合开始时命中对手（在轮到其回合时进行命中及伤害判定）。所有在此期间提前触碰到的敌人会直接被该道具命中。
【1级】 范围轰炸: 你的飞行道具系必杀技会对命中对手及其附近3尺半径内所有敌人造成伤害，非直接命中的敌人受到一半伤害。
【1级】 炮架: 可开关状态，不能在同一回合内同时开关。你失去75%移动力并将其转换为额外飞行道具系必杀技的攻击距离；同时范围伤害半径扩大到6尺。
【8级解锁】 炮火连天: 释放超级必杀技后你会对场上所有敌人释放一个飞行道具系必杀技。如果一个敌人受到了两次来自不同飞行道具的伤害，会受到一次额外的1d10+控制熟练的伤害。</t>
        </is>
      </c>
      <c r="W18" t="inlineStr">
        <is>
          <t>重炮手</t>
        </is>
      </c>
      <c r="X18" t="n">
        <v>25</v>
      </c>
    </row>
    <row r="19" ht="24" customHeight="1">
      <c r="T19" t="inlineStr">
        <is>
          <t>牵制者|速射手</t>
        </is>
      </c>
      <c r="U19" s="30" t="inlineStr">
        <is>
          <t>【1级】 火力覆盖: 你的飞行道具系必杀技可以通过附赠动作释放。你飞行道具系必杀技的od版本只消耗1格斗气槽。
【1级】 射击专精: 可开关状态，不能在同一回合内同时开关。你对15尺以外的无掩体敌人的攻击带有优势。5尺以内的敌人对你的攻击带有优势。
【1级】 穿透射击: 你所有的非od的飞行道具系必杀技会在你释放之后迅速到达对手处，穿透所有经过的敌人。非主要目标会受到50%的伤害。无论是否命中，受影响的敌人会被击退到弹道两旁（无法产生与地形互动）。
【1级】 连发: 如果你释放的飞行道具系必杀技命中至少两名敌人，或者造成重击伤害，你可以无消耗的再释放一次。可以重复触发。
【1级】 枪托: 可开关状态，不能在同一回合内同时开关。你的飞行道具系必杀技不会向两旁击退而是向正后方，但每次释放会额外消耗20%移动力。
【8级解锁】 全自动模式: 释放超级必杀技后，你每回合开始时会向最近的敌人自动发射一个飞行道具，可以触发连发。</t>
        </is>
      </c>
      <c r="W19" t="inlineStr">
        <is>
          <t>速射手</t>
        </is>
      </c>
      <c r="X19" t="n">
        <v>35</v>
      </c>
    </row>
    <row r="20" ht="24" customHeight="1">
      <c r="T20" t="inlineStr">
        <is>
          <t>影罗残党|</t>
        </is>
      </c>
      <c r="U20" s="30" t="inlineStr">
        <is>
          <t>【1级】 精神力: 你所有类型的必杀技都会附带1d4+控制熟练的心灵伤害。受到心灵伤害的对手会被施加一层“精神萎靡”。处于精神萎靡的单位会丧失斗志，所有攻击附带-1的伤害修正，最多叠加5层。
【1级】 精神力防御: 你对心灵伤害有抗性，受到心灵伤害减半。
【8级解锁】 领域展开: 所有影罗残党的超级必杀技都会变更为“领域展开”。无需进行命中判定，你将会和最多2名对手进入精神力领域。期间你每回合会失去一格斗气，斗气枯竭时领域结束。你的所有攻击必定命中领域中的对手，且“精神萎靡”状态可以被叠加到最多10层，达到10层的对手会立刻死亡。如果场上有超过1个领域同时展开，则会抵消相互剩余斗气，直到一方斗气枯竭，留下另一方的领域。</t>
        </is>
      </c>
      <c r="W20" t="inlineStr">
        <is>
          <t>影罗残党</t>
        </is>
      </c>
      <c r="X20" t="n">
        <v>30</v>
      </c>
    </row>
    <row r="21" ht="24" customHeight="1">
      <c r="T21" t="inlineStr">
        <is>
          <t>影罗残党|统领</t>
        </is>
      </c>
      <c r="U21" s="30" t="inlineStr">
        <is>
          <t>【1级】 精神力: 你所有类型的必杀技都会附带1d4+控制熟练的心灵伤害。受到心灵伤害的对手会被施加一层“精神萎靡”。处于精神萎靡的单位会丧失斗志，所有攻击附带-1的伤害修正，最多叠加5层。
【1级】 精神力防御: 你对心灵伤害有抗性，受到心灵伤害减半。
【1级】 精神力穿透: 你的心灵伤害无视抗性，并且无视对手的临时生命值。
【1级】 心灵控制: 当对手“精神萎靡”状态累计至5层时，你可以在接下来最多1回合内完全操控对方行动，替代自己的行动回合。控制结束之后对手层数会清零。操控期间，对手也会携带“精神力”的伤害。无法使用操控对手的超级必杀技。
【1级】 精神力雷弹: 所有未命中的必杀技将在目标身上留下一枚精神力雷弹，该雷弹在对手回合开始时进行命中判定，若判定成功，则对目标造成等值于精神力的伤害。
【8级解锁】 领域展开: 所有影罗残党的超级必杀技都会变更为“领域展开”。无需进行命中判定，你将会和最多2名对手进入精神力领域。期间你每回合会失去一格斗气，斗气枯竭时领域结束。你的所有攻击必定命中领域中的对手，且“精神萎靡”状态可以被叠加到最多10层，达到10层的对手会立刻死亡。如果场上有超过1个领域同时展开，则会抵消相互剩余斗气，直到一方斗气枯竭，留下另一方的领域。
【8级解锁】 精神力惩罚: 你领域展开时，给其中所有对手身上留下一枚精神力雷弹，并可以在引爆时从天而降，踩向对手。</t>
        </is>
      </c>
      <c r="W21" t="inlineStr">
        <is>
          <t>统领</t>
        </is>
      </c>
      <c r="X21" t="n">
        <v>30</v>
      </c>
    </row>
    <row r="22" ht="24" customHeight="1">
      <c r="T22" t="inlineStr">
        <is>
          <t>影罗残党|教头</t>
        </is>
      </c>
      <c r="U22" s="30" t="inlineStr">
        <is>
          <t>【1级】 精神力: 你所有类型的必杀技都会附带1d4+控制熟练的心灵伤害。受到心灵伤害的对手会被施加一层“精神萎靡”。处于精神萎靡的单位会丧失斗志，所有攻击附带-1的伤害修正，最多叠加5层。
【1级】 精神力防御: 你对心灵伤害有抗性，受到心灵伤害减半。
【1级】 附魔拳脚: 你所有的普通技，特殊技施展范围增加1尺。在重击时也会携带“精神力”伤害。
【1级】 精神力火花: 你的必杀技可以强制移动身上带有“精神萎靡”的对手。强制移动会消耗层数，每消耗一层移动距离增加1尺（最少为1）。可以与地形产生互动。
【1级】 诛杀步: 一段特殊位移，能且只能取消自己的必杀技使用。位移距离根据命中时对手身上的“精神萎靡”层数而定，每消耗一层增加1尺（最少为2尺）。如果朝对手相反方向移动，距离减半。
【8级解锁】 领域展开: 所有影罗残党的超级必杀技都会变更为“领域展开”。无需进行命中判定，你将会和最多2名对手进入精神力领域。期间你每回合会失去一格斗气，斗气枯竭时领域结束。你的所有攻击必定命中领域中的对手，且“精神萎靡”状态可以被叠加到最多10层，达到10层的对手会立刻死亡。如果场上有超过1个领域同时展开，则会抵消相互剩余斗气，直到一方斗气枯竭，留下另一方的领域。
【8级解锁】 精神力空间: 你领域展开时，会束缚其中所有对手，每回合会进行耐力检定，最多持续5回合。</t>
        </is>
      </c>
      <c r="W22" t="inlineStr">
        <is>
          <t>教头</t>
        </is>
      </c>
      <c r="X22" t="n">
        <v>35</v>
      </c>
    </row>
    <row r="23" ht="24" customHeight="1">
      <c r="T23" t="inlineStr">
        <is>
          <t>影罗残党|黑手</t>
        </is>
      </c>
      <c r="U23" s="30" t="inlineStr">
        <is>
          <t>【1级】 精神力: 你所有类型的必杀技都会附带1d4+控制熟练的心灵伤害。受到心灵伤害的对手会被施加一层“精神萎靡”。处于精神萎靡的单位会丧失斗志，所有攻击附带-1的伤害修正，最多叠加5层。
【1级】 精神力防御: 你对心灵伤害有抗性，受到心灵伤害减半。
【1级】 恶作剧: 你的飞行道具飞向敌人时，会在地上留下一个半径2尺的地刺陷阱。如果有单位被强制位移至其中，或一回合后，地刺会自动刺出攻击所以范围内的敌人，造成精神力伤害。你也可以消耗一个附赠动作来直接引爆。OD版本飞行道具留下的地刺半径为4尺，会击飞所有击中的单位，且引爆不消耗资源。
【1级】 出行: 你可以消耗所有剩余移动力（至少30%）来传送到未引爆的地刺陷阱处。
【1级】 失忆: 一回合内，第一次命中你的攻击会失效，并在对手脚下留下一个地刺陷阱。
【8级解锁】 领域展开: 所有影罗残党的超级必杀技都会变更为“领域展开”。无需进行命中判定，你将会和最多2名对手进入精神力领域。期间你每回合会失去一格斗气，斗气枯竭时领域结束。你的所有攻击必定命中领域中的对手，且“精神萎靡”状态可以被叠加到最多10层，达到10层的对手会立刻死亡。如果场上有超过1个领域同时展开，则会抵消相互剩余斗气，直到一方斗气枯竭，留下另一方的领域。
【8级解锁】 怪物托尔巴兰: 你领域展开时，会召唤出四个由不同方向袭来的怪物冲向领域内的对手。被命中的对手会被击飞并在其脚下留下地刺陷阱。伤害等同于精神力伤害*受击单位的精神萎靡层数。</t>
        </is>
      </c>
      <c r="W23" t="inlineStr">
        <is>
          <t>黑手</t>
        </is>
      </c>
      <c r="X23" t="n">
        <v>30</v>
      </c>
    </row>
    <row r="24" ht="24" customHeight="1">
      <c r="T24" t="inlineStr">
        <is>
          <t>道具师|</t>
        </is>
      </c>
      <c r="U24" s="30" t="inlineStr">
        <is>
          <t>【1级】 不公平对战: 道具师们被允许使用他们专属的道具/武器进行战斗。他们所有的必杀技会根据所使用的武器造成特殊状态。但你的普通技无法使用武器。
【1级】 异次元口袋: 你会获得一个异次元双肩背包。你可以在背包里装任意数量、重量的单位，但大小不得超过你背包大小。
【1级】 手工达人: 你可以通过收集各种材料进行合成，根据你所受击的材料进行掷骰，根据结果会获得不一样的战斗中可使用的消耗品。</t>
        </is>
      </c>
      <c r="W24" t="inlineStr">
        <is>
          <t>道具师</t>
        </is>
      </c>
      <c r="X24" t="n">
        <v>30</v>
      </c>
    </row>
    <row r="25" ht="24" customHeight="1">
      <c r="T25" t="inlineStr">
        <is>
          <t>道具师|特工</t>
        </is>
      </c>
      <c r="U25" s="30" t="inlineStr">
        <is>
          <t>【1级】 不公平对战: 道具师们被允许使用他们专属的道具/武器进行战斗。他们所有的必杀技会根据所使用的武器造成特殊状态。但你的普通技无法使用武器。
【1级】 异次元口袋: 你会获得一个异次元双肩背包。你可以在背包里装任意数量、重量的单位，但大小不得超过你背包大小。
【1级】 手工达人: 你可以通过收集各种材料进行合成，根据你所受击的材料进行掷骰，根据结果会获得不一样的战斗中可使用的消耗品。
【1级】 疾速追杀: 每回合开始时，你都可以选择一个携带的，或者身边的物品/非敌对的中立生物进行绑定。你的必杀技可以随时召唤出你所绑定的单位进行攻击。最多同时绑定三个单位。被绑定的对象体型最大不能超过自己。
【1级】 临别赠礼: 你每次施展移动技能时（包括绿冲和跳步等）可以在原地留下一个由已绑定物品作为主要伤害的隐形陷阱，且该陷阱无法被敌人察觉。当有人靠近或者再次召唤该物品时触发，根据该物品效果造成伤害。
【8级解锁】 万剑归宗: 你释放超级必杀技时，身上携带的所有带有攻击性的物品都会短暂倾泻而出，飞向目标造成伤害。</t>
        </is>
      </c>
      <c r="W25" t="inlineStr">
        <is>
          <t>特工</t>
        </is>
      </c>
      <c r="X25" t="n">
        <v>30</v>
      </c>
    </row>
    <row r="26" ht="24" customHeight="1">
      <c r="T26" t="inlineStr">
        <is>
          <t>道具师|影</t>
        </is>
      </c>
      <c r="U26" s="30" t="inlineStr">
        <is>
          <t>【1级】 不公平对战: 道具师们被允许使用他们专属的道具/武器进行战斗。他们所有的必杀技会根据所使用的武器造成特殊状态。但你的普通技无法使用武器。
【1级】 异次元口袋: 你会获得一个异次元双肩背包。你可以在背包里装任意数量、重量的单位，但大小不得超过你背包大小。
【1级】 手工达人: 你可以通过收集各种材料进行合成，根据你所受击的材料进行掷骰，根据结果会获得不一样的战斗中可使用的消耗品。
【1级】 契约武器: 你可以选择一件物品为契约武器，每次长休后可以选择一次。你的必杀技可以使用你的契约武器进行伤害，可以根据武器特性造成特殊效果。每次使用都会累计一点熟练度。达到25层时，该武器会获得一种元素属性（毒，冰，火，电，选1）。达到50层时，该武器造成的额外伤害翻倍。达到75层时，即使没有命中也会造成武器的额外伤害。达到100层时，该武器达到满级，所有伤害会重击且命中必带优势，即使没有绑定也可以召唤出来使用。切换绑定武器不会损失之前叠加的层数。
【1级】 大击靶: 你可以投掷一个物品并在空中用你的契约武器对其进行打击。使该物品的效果扩散到被击中区域内所有单位，并对敌人造成该武器的额外伤害。
【8级解锁】 天人合一: 释放超级必杀技之后，你手中的武器会短暂升到满级，持续到战斗结束。</t>
        </is>
      </c>
      <c r="W26" t="inlineStr">
        <is>
          <t>影</t>
        </is>
      </c>
      <c r="X26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50" customWidth="1" min="3" max="3"/>
  </cols>
  <sheetData>
    <row r="1">
      <c r="A1" s="11" t="inlineStr">
        <is>
          <t>等级</t>
        </is>
      </c>
      <c r="B1" s="11" t="inlineStr">
        <is>
          <t>专长名称</t>
        </is>
      </c>
      <c r="C1" s="11" t="inlineStr">
        <is>
          <t>效果描述</t>
        </is>
      </c>
    </row>
    <row r="2" ht="80" customHeight="1">
      <c r="A2" s="14" t="inlineStr">
        <is>
          <t>3级</t>
        </is>
      </c>
      <c r="B2" s="14" t="inlineStr">
        <is>
          <t>波动之拳</t>
        </is>
      </c>
      <c r="C2" s="32" t="inlineStr">
        <is>
          <t>你回合内的第一次释放的飞行道具未命中时不消耗任何资源。你的飞行道具造成额外的1d4+（控制调整）伤害。</t>
        </is>
      </c>
    </row>
    <row r="3" ht="80" customHeight="1">
      <c r="A3" s="14" t="inlineStr">
        <is>
          <t>3级</t>
        </is>
      </c>
      <c r="B3" s="14" t="inlineStr">
        <is>
          <t>瑜伽之手</t>
        </is>
      </c>
      <c r="C3" s="32" t="inlineStr">
        <is>
          <t>你的轻/中/重攻击可以拥有额外的4/6/10尺攻击范围，若如此做，此次普通技无法取消必杀技。命中时将对手推开1/2/3尺。</t>
        </is>
      </c>
    </row>
    <row r="4" ht="80" customHeight="1">
      <c r="A4" s="14" t="inlineStr">
        <is>
          <t>3级</t>
        </is>
      </c>
      <c r="B4" s="14" t="inlineStr">
        <is>
          <t>立回专家</t>
        </is>
      </c>
      <c r="C4" s="32" t="inlineStr">
        <is>
          <t>未命中你的普通技命中掷骰如果小于你的AC值 – 5, 此次攻击将会“挥空”。挥空的对手无法取消此次普通技，且该回合内下次受击将处于“确反康”状态。2尺内的对手对你使用的重攻击拥有劣势掷骰。</t>
        </is>
      </c>
    </row>
    <row r="5" ht="80" customHeight="1">
      <c r="A5" s="14" t="inlineStr">
        <is>
          <t>3级</t>
        </is>
      </c>
      <c r="B5" s="14" t="inlineStr">
        <is>
          <t>扫堂腿</t>
        </is>
      </c>
      <c r="C5" s="32" t="inlineStr">
        <is>
          <t>你获得一个额外的特殊技，扫堂腿：主动释放时消耗一个动作，对5尺内的一个敌人施展下段重攻击扫腿，使其收到1d10+（力量调整）的伤害并强制倒地。该特殊技也会替代你的“借机攻击”，消耗一个反应且无法被闪避。无法取消必杀技</t>
        </is>
      </c>
    </row>
    <row r="6" ht="80" customHeight="1">
      <c r="A6" s="14" t="inlineStr">
        <is>
          <t>3级</t>
        </is>
      </c>
      <c r="B6" s="14" t="inlineStr">
        <is>
          <t>蓝精灵</t>
        </is>
      </c>
      <c r="C6" s="32" t="inlineStr">
        <is>
          <t>完美防御可对你的完美防御判定也可以为对手命中判定掷筛的+1或者-1。你从完美防御获得的攻击机会将不会有伤害修正。</t>
        </is>
      </c>
    </row>
    <row r="7" ht="80" customHeight="1">
      <c r="A7" s="14" t="inlineStr">
        <is>
          <t>3级</t>
        </is>
      </c>
      <c r="B7" s="14" t="inlineStr">
        <is>
          <t>恐怖投手</t>
        </is>
      </c>
      <c r="C7" s="32" t="inlineStr">
        <is>
          <t>你会恢复来自你指令投系技能伤害50%的生命值。你的指令投落空后如果没有被 “确反康“，你会获得1+1d6点临时生命值。</t>
        </is>
      </c>
    </row>
    <row r="8" ht="80" customHeight="1">
      <c r="A8" s="14" t="inlineStr">
        <is>
          <t>3级</t>
        </is>
      </c>
      <c r="B8" s="14" t="inlineStr">
        <is>
          <t>白色恐惧</t>
        </is>
      </c>
      <c r="C8" s="32" t="inlineStr">
        <is>
          <t>你在斗气枯竭时可以通过反应来对未命中你的对手释放一次必杀技。你在斗气枯竭时不会被敌方角色强制移动。</t>
        </is>
      </c>
    </row>
    <row r="9" ht="80" customHeight="1">
      <c r="A9" s="14" t="inlineStr">
        <is>
          <t>3级</t>
        </is>
      </c>
      <c r="B9" s="14" t="inlineStr">
        <is>
          <t>偷偷乐</t>
        </is>
      </c>
      <c r="C9" s="32" t="inlineStr">
        <is>
          <t>来自你普通技的中段攻击必定命中一轮行动内没有移动过的敌人。该次攻击不会消耗你的动作或者附赠动作。</t>
        </is>
      </c>
    </row>
    <row r="10" ht="80" customHeight="1">
      <c r="A10" s="14" t="inlineStr">
        <is>
          <t>3级</t>
        </is>
      </c>
      <c r="B10" s="14" t="inlineStr">
        <is>
          <t>热血沸腾的组合技!</t>
        </is>
      </c>
      <c r="C10" s="32" t="inlineStr">
        <is>
          <t>当你命中一个被队友打入特殊状态的敌人时，会延长该状态的持续时间，直到你结束回合或施加一个新的状态（普通技不会使其强制倒地）。</t>
        </is>
      </c>
    </row>
    <row r="11" ht="80" customHeight="1">
      <c r="A11" s="14" t="inlineStr">
        <is>
          <t>3级</t>
        </is>
      </c>
      <c r="B11" s="14" t="inlineStr">
        <is>
          <t>猜拳王</t>
        </is>
      </c>
      <c r="C11" s="32" t="inlineStr">
        <is>
          <t>你对一回合内强制倒地过的敌人具有优势。你被强制倒地后的一回合内敌人对你的攻击具有劣势。</t>
        </is>
      </c>
    </row>
    <row r="12" ht="80" customHeight="1">
      <c r="A12" s="14" t="inlineStr">
        <is>
          <t>3级</t>
        </is>
      </c>
      <c r="B12" s="14" t="inlineStr">
        <is>
          <t>凹比</t>
        </is>
      </c>
      <c r="C12" s="32" t="inlineStr">
        <is>
          <t>你可以通过反应使用两格斗气来释放一次必杀技（或者直接使用超级必杀技！）来反击一次敌人的近战攻击，“凹“：成功命中时，你不会受到此次攻击的伤害并造成你必杀技伤害，并结束对方回合。未命中时，敌人的攻击将会打出“确反康“。</t>
        </is>
      </c>
    </row>
    <row r="13" ht="80" customHeight="1">
      <c r="A13" s="14" t="inlineStr">
        <is>
          <t>3级</t>
        </is>
      </c>
      <c r="B13" s="14" t="inlineStr">
        <is>
          <t>抢比</t>
        </is>
      </c>
      <c r="C13" s="32" t="inlineStr">
        <is>
          <t>敌人对你使用重攻击或者近战必杀时，你可以通过反应来使出抢招：施展一次普通技。如果命中，敌人的攻击不会命中并被你打“康“。如果失败，则你会被打”康“。</t>
        </is>
      </c>
    </row>
    <row r="14" ht="80" customHeight="1">
      <c r="A14" s="14" t="inlineStr">
        <is>
          <t>3级</t>
        </is>
      </c>
      <c r="B14" s="14" t="inlineStr">
        <is>
          <t>散打者</t>
        </is>
      </c>
      <c r="C14" s="32" t="inlineStr">
        <is>
          <t>你没有取消必杀技的普通技以及特殊技可以造成额外的1d4+力量调整的伤害。</t>
        </is>
      </c>
    </row>
    <row r="15" ht="80" customHeight="1">
      <c r="A15" s="14" t="inlineStr">
        <is>
          <t>3级</t>
        </is>
      </c>
      <c r="B15" s="14" t="inlineStr">
        <is>
          <t>地板烫脚</t>
        </is>
      </c>
      <c r="C15" s="32" t="inlineStr">
        <is>
          <t>你可以通过“跳跃“来施展一次攻击，该次攻击被视为一次中段攻击。这次攻击会造成额外的1d4 + 力量调整的伤害。如果落点在对手身后，此次攻击会有优势掷骰。</t>
        </is>
      </c>
    </row>
    <row r="16" ht="80" customHeight="1">
      <c r="A16" s="33" t="inlineStr">
        <is>
          <t>5级</t>
        </is>
      </c>
      <c r="B16" s="33" t="inlineStr">
        <is>
          <t>五毒不侵</t>
        </is>
      </c>
      <c r="C16" s="34" t="inlineStr">
        <is>
          <t>你对燃烧、中毒等特殊状态造成的伤害骰具有劣势。在完成一次短休息后，你会获得相当于你的等级x5的临时生命值。</t>
        </is>
      </c>
    </row>
    <row r="17" ht="80" customHeight="1">
      <c r="A17" s="33" t="inlineStr">
        <is>
          <t>5级</t>
        </is>
      </c>
      <c r="B17" s="33" t="inlineStr">
        <is>
          <t>不动如山</t>
        </is>
      </c>
      <c r="C17" s="34" t="inlineStr">
        <is>
          <t>在你的回合内，如果你没有移动或攻击，你的AC将获得+2的加值，并且你不会被反应或强制移动。此外，你对任何试图将你从当前位置移动的攻击或效果具有优势。
（超级护甲：AC+2，无法被反击，对位移具有抗性）</t>
        </is>
      </c>
    </row>
    <row r="18" ht="80" customHeight="1">
      <c r="A18" s="33" t="inlineStr">
        <is>
          <t>5级</t>
        </is>
      </c>
      <c r="B18" s="33" t="inlineStr">
        <is>
          <t>修正带</t>
        </is>
      </c>
      <c r="C18" s="34" t="inlineStr">
        <is>
          <t>你对伤害修正的惩罚降低50%。此外，你第一次OD取消不消耗任何资源。
（伤害修正惩罚降低50%；第一次OD取消无惩罚）</t>
        </is>
      </c>
    </row>
    <row r="19" ht="80" customHeight="1">
      <c r="A19" s="33" t="inlineStr">
        <is>
          <t>5级</t>
        </is>
      </c>
      <c r="B19" s="33" t="inlineStr">
        <is>
          <t>才艺展示员</t>
        </is>
      </c>
      <c r="C19" s="34" t="inlineStr">
        <is>
          <t>OD技能可以互相取消；额外造成1+1d4伤害。
（OD技能可以互相取消；额外造成1+1d4伤害）</t>
        </is>
      </c>
    </row>
    <row r="20" ht="80" customHeight="1">
      <c r="A20" s="33" t="inlineStr">
        <is>
          <t>5级</t>
        </is>
      </c>
      <c r="B20" s="33" t="inlineStr">
        <is>
          <t>血皮之力</t>
        </is>
      </c>
      <c r="C20" s="34" t="inlineStr">
        <is>
          <t>HP低于10%时获得临时HP；对HP低于自身的敌人可直接处决。
（HP低于10%时获得临时HP；对HP低于自身的敌人可直接处决）</t>
        </is>
      </c>
    </row>
    <row r="21" ht="80" customHeight="1">
      <c r="A21" s="33" t="inlineStr">
        <is>
          <t>5级</t>
        </is>
      </c>
      <c r="B21" s="33" t="inlineStr">
        <is>
          <t>完美无缺的模仿</t>
        </is>
      </c>
      <c r="C21" s="34" t="inlineStr">
        <is>
          <t>你可以在战斗中使用已击倒敌人的动作。此外，你的飞道具攻击必定命中。
（可在战斗中使用已击倒敌人的动作；飞道具攻击必然命中）</t>
        </is>
      </c>
    </row>
    <row r="22" ht="80" customHeight="1">
      <c r="A22" s="33" t="inlineStr">
        <is>
          <t>5级</t>
        </is>
      </c>
      <c r="B22" s="33" t="inlineStr">
        <is>
          <t>我建议，滑着走!</t>
        </is>
      </c>
      <c r="C22" s="34" t="inlineStr">
        <is>
          <t>你的前进/后退步可以滑行10尺，且不会触发借机攻击。此外，滑行后，你的下一次攻击将具有优势。
（前进/后退步可滑行10ft而不触发借机攻击；滑行后获得优势）</t>
        </is>
      </c>
    </row>
    <row r="23" ht="80" customHeight="1">
      <c r="A23" s="35" t="inlineStr">
        <is>
          <t>8级</t>
        </is>
      </c>
      <c r="B23" s="35" t="inlineStr">
        <is>
          <t>超级爆爆回</t>
        </is>
      </c>
      <c r="C23" s="36" t="inlineStr">
        <is>
          <t>以你为目标的飞行道具没有命中你的时候，你可以通过反应来向对手方向移动最多15尺。如果移动后的你与对手的距离小于5尺，你在此时施展一次优势命中掷骰的超级必杀技。</t>
        </is>
      </c>
    </row>
    <row r="24" ht="80" customHeight="1">
      <c r="A24" s="35" t="inlineStr">
        <is>
          <t>8级</t>
        </is>
      </c>
      <c r="B24" s="35" t="inlineStr">
        <is>
          <t>吗搜!</t>
        </is>
      </c>
      <c r="C24" s="36" t="inlineStr">
        <is>
          <t>你的超级必杀技被视为指令投系招式。造成额外力量熟练的固定伤害。你的超级必杀技会在短休时恢复。</t>
        </is>
      </c>
    </row>
    <row r="25" ht="80" customHeight="1">
      <c r="A25" s="35" t="inlineStr">
        <is>
          <t>8级</t>
        </is>
      </c>
      <c r="B25" s="35" t="inlineStr">
        <is>
          <t>神人</t>
        </is>
      </c>
      <c r="C25" s="36" t="inlineStr">
        <is>
          <t>你超级必杀技如果斩杀了对手，你会出现在战场的正中心并背对对手的尸体。每次超级必杀技的斩杀会永久增加5点od技的固定伤害。</t>
        </is>
      </c>
    </row>
    <row r="26" ht="80" customHeight="1">
      <c r="A26" s="35" t="inlineStr">
        <is>
          <t>8级</t>
        </is>
      </c>
      <c r="B26" s="35" t="inlineStr">
        <is>
          <t>凹就凹大的</t>
        </is>
      </c>
      <c r="C26" s="36" t="inlineStr">
        <is>
          <t>当你濒死倒地时再次受到攻击可以在死亡前释放超级必杀技。如果命中且斩杀了对手，你会复活并恢复2+1d8的生命值。</t>
        </is>
      </c>
    </row>
    <row r="27" ht="80" customHeight="1">
      <c r="A27" s="35" t="inlineStr">
        <is>
          <t>8级</t>
        </is>
      </c>
      <c r="B27" s="35" t="inlineStr">
        <is>
          <t>穿波爱好者</t>
        </is>
      </c>
      <c r="C27" s="36" t="inlineStr">
        <is>
          <t>你获得过波标记：你可以使用附赠动作来标记一名敌人。他在本次轮行动内的任意时刻使用飞行道具时，你会对其释放一次必中的超级必杀技。</t>
        </is>
      </c>
    </row>
    <row r="28" ht="80" customHeight="1">
      <c r="A28" s="35" t="inlineStr">
        <is>
          <t>8级</t>
        </is>
      </c>
      <c r="B28" s="35" t="inlineStr">
        <is>
          <t>负帧不代表不利</t>
        </is>
      </c>
      <c r="C28" s="36" t="inlineStr">
        <is>
          <t>当你的近战攻击未命中时，你可以立刻对其释放一次有优势命中掷骰的超级必杀技。</t>
        </is>
      </c>
    </row>
    <row r="29" ht="80" customHeight="1">
      <c r="A29" s="35" t="inlineStr">
        <is>
          <t>8级</t>
        </is>
      </c>
      <c r="B29" s="35" t="inlineStr">
        <is>
          <t>狩猎女神</t>
        </is>
      </c>
      <c r="C29" s="36" t="inlineStr">
        <is>
          <t>你的超级必杀技如果没有斩杀，会将该敌人击退到身后的地形角落。如果完成击杀，会使你的基础必杀技永久获得+1尺的命中后的击退距离。</t>
        </is>
      </c>
    </row>
    <row r="31">
      <c r="A31" s="37" t="inlineStr">
        <is>
          <t>🔵 3级专长</t>
        </is>
      </c>
      <c r="B31" s="38" t="inlineStr">
        <is>
          <t>🟢 5级专长</t>
        </is>
      </c>
      <c r="C31" s="39" t="inlineStr">
        <is>
          <t>🟠 8级专长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4" customWidth="1" min="4" max="4"/>
    <col width="20" customWidth="1" min="5" max="5"/>
    <col width="40" customWidth="1" min="6" max="6"/>
  </cols>
  <sheetData>
    <row r="1">
      <c r="A1" s="11" t="inlineStr">
        <is>
          <t>职业</t>
        </is>
      </c>
      <c r="B1" s="11" t="inlineStr">
        <is>
          <t>通用特性 (等级)</t>
        </is>
      </c>
      <c r="C1" s="11" t="inlineStr">
        <is>
          <t>通用特性说明</t>
        </is>
      </c>
      <c r="D1" s="11" t="inlineStr">
        <is>
          <t>子职业</t>
        </is>
      </c>
      <c r="E1" s="11" t="inlineStr">
        <is>
          <t>子职业特性 (等级)</t>
        </is>
      </c>
      <c r="F1" s="11" t="inlineStr">
        <is>
          <t>子职业特性说明</t>
        </is>
      </c>
    </row>
    <row r="2" ht="50" customHeight="1">
      <c r="A2" s="14" t="inlineStr">
        <is>
          <t>武道者</t>
        </is>
      </c>
      <c r="B2" s="40" t="inlineStr">
        <is>
          <t>1级 | 上升攻击(Upper Cut)</t>
        </is>
      </c>
      <c r="C2" s="32" t="inlineStr">
        <is>
          <t>武道者自带的必杀技，与“升龙拳”类似，消耗1个动作，造成等同于你重攻击的伤害，击中敌人后造成强制倒地。该招式如果没有命中会进入受击“确反康”的状态。在受到跳跃攻击时可以以反应使用，成功时对方的该次跳跃攻击将不会造成伤害，但失败依然会进入受击“确反康”状态。如果在“倒地”或者“强制倒地“时成为近战攻击的目标，则可以以反应释放该技能的od版本（可以选择消耗“反应”或“斗气槽”）。</t>
        </is>
      </c>
      <c r="D2" s="41" t="inlineStr">
        <is>
          <t>正统派</t>
        </is>
      </c>
      <c r="E2" s="40" t="inlineStr">
        <is>
          <t>1级 | 身法</t>
        </is>
      </c>
      <c r="F2" s="32" t="inlineStr">
        <is>
          <t>对手的徒手攻击如果未能命中你，一回合内，你对其攻击产生“确反康”并获得优势掷骰；对手的飞行道具如果未能命中你，你下个飞行道具必定会命中该对手。</t>
        </is>
      </c>
    </row>
    <row r="3" ht="50" customHeight="1">
      <c r="A3" s="42" t="n"/>
      <c r="B3" s="42" t="n"/>
      <c r="C3" s="42" t="n"/>
      <c r="D3" s="42" t="n"/>
      <c r="E3" s="40" t="inlineStr">
        <is>
          <t>1级 | 步法</t>
        </is>
      </c>
      <c r="F3" s="32" t="inlineStr">
        <is>
          <t>你使用普通技之后可以无消耗的移动5尺，且不会触发借机攻击。</t>
        </is>
      </c>
    </row>
    <row r="4" ht="50" customHeight="1">
      <c r="A4" s="42" t="n"/>
      <c r="B4" s="42" t="n"/>
      <c r="C4" s="42" t="n"/>
      <c r="D4" s="43" t="n"/>
      <c r="E4" s="40" t="inlineStr">
        <is>
          <t>8级 | 登峰造极</t>
        </is>
      </c>
      <c r="F4" s="32" t="inlineStr">
        <is>
          <t>正统派的上升攻击后取消超级必杀技时，该场战斗剩余时间里上升攻击会造成双倍伤害。</t>
        </is>
      </c>
    </row>
    <row r="5" ht="50" customHeight="1">
      <c r="A5" s="42" t="n"/>
      <c r="B5" s="43" t="n"/>
      <c r="C5" s="43" t="n"/>
      <c r="D5" s="41" t="inlineStr">
        <is>
          <t>邪修派</t>
        </is>
      </c>
      <c r="E5" s="40" t="inlineStr">
        <is>
          <t>1级 | 走火入魔</t>
        </is>
      </c>
      <c r="F5" s="32" t="inlineStr">
        <is>
          <t>你的所有攻击都会获得优势骰，所有受击都会陷入劣势骰。</t>
        </is>
      </c>
    </row>
    <row r="6" ht="50" customHeight="1">
      <c r="A6" s="42" t="n"/>
      <c r="B6" s="40" t="inlineStr">
        <is>
          <t>1级 | 自在极意</t>
        </is>
      </c>
      <c r="C6" s="32" t="inlineStr">
        <is>
          <t>上升攻击作为武道者的核心技能，每场战斗中，每次成功使用会使其基础伤害增加2，但角色每次濒死/死亡/眩晕都会重置此修正，战斗结束后重置此修正。</t>
        </is>
      </c>
      <c r="D6" s="42" t="n"/>
      <c r="E6" s="40" t="inlineStr">
        <is>
          <t>1级 | 修罗之道</t>
        </is>
      </c>
      <c r="F6" s="32" t="inlineStr">
        <is>
          <t>击杀会获得2+1d6的生命值恢复。溢出部分会转化为临时生命值。</t>
        </is>
      </c>
    </row>
    <row r="7" ht="50" customHeight="1">
      <c r="A7" s="42" t="n"/>
      <c r="B7" s="42" t="n"/>
      <c r="C7" s="42" t="n"/>
      <c r="D7" s="42" t="n"/>
      <c r="E7" s="40" t="inlineStr">
        <is>
          <t>1级 | 你再看看你后面呢</t>
        </is>
      </c>
      <c r="F7" s="32" t="inlineStr">
        <is>
          <t>你在对手身后/视野之外发动的进攻会获得额外10尺的距离。以此方法发动的攻击必定命中，攻击时会闪身到对手身旁。脆弱的对手会“受惊”。</t>
        </is>
      </c>
    </row>
    <row r="8" ht="50" customHeight="1">
      <c r="A8" s="42" t="n"/>
      <c r="B8" s="42" t="n"/>
      <c r="C8" s="42" t="n"/>
      <c r="D8" s="42" t="n"/>
      <c r="E8" s="40" t="inlineStr">
        <is>
          <t>1级 | 跑快快！</t>
        </is>
      </c>
      <c r="F8" s="32" t="inlineStr">
        <is>
          <t>邪修派武道者获得额外10尺的移动距离。</t>
        </is>
      </c>
    </row>
    <row r="9" ht="50" customHeight="1">
      <c r="A9" s="42" t="n"/>
      <c r="B9" s="43" t="n"/>
      <c r="C9" s="43" t="n"/>
      <c r="D9" s="43" t="n"/>
      <c r="E9" s="40" t="inlineStr">
        <is>
          <t>8级 | 彻底疯狂</t>
        </is>
      </c>
      <c r="F9" s="32" t="inlineStr">
        <is>
          <t>你释放超级必杀技后会陷入“修罗”状态：所有攻击必定会命中，所有受击也必定会命中。必杀技取消不会有伤害修正。角色濒死/死亡/眩晕后结束。战斗结束后也会结束此状态。</t>
        </is>
      </c>
    </row>
    <row r="10" ht="50" customHeight="1">
      <c r="A10" s="42" t="n"/>
      <c r="B10" s="40" t="inlineStr">
        <is>
          <t>1级 | 气定神闲</t>
        </is>
      </c>
      <c r="C10" s="32" t="inlineStr">
        <is>
          <t>通过反应释放， 武道者受到徒手攻击伤害时可以获得一个1d4的伤害衰减修正。</t>
        </is>
      </c>
      <c r="D10" s="41" t="inlineStr">
        <is>
          <t>隐士</t>
        </is>
      </c>
      <c r="E10" s="40" t="inlineStr">
        <is>
          <t>1级 | 独门绝技</t>
        </is>
      </c>
      <c r="F10" s="32" t="inlineStr">
        <is>
          <t>隐士拥有自己的一个独门绝技（为角色基础必杀技，玩家可以自行设计），该技能对第一次见到的对手必定命中，且必定造成最大命中伤害，无法被反应。</t>
        </is>
      </c>
    </row>
    <row r="11" ht="50" customHeight="1">
      <c r="A11" s="42" t="n"/>
      <c r="B11" s="42" t="n"/>
      <c r="C11" s="42" t="n"/>
      <c r="D11" s="42" t="n"/>
      <c r="E11" s="40" t="inlineStr">
        <is>
          <t>1级 | 不被世人关注的存在感</t>
        </is>
      </c>
      <c r="F11" s="32" t="inlineStr">
        <is>
          <t>战斗中，如果隐士连续两回合没有造成和受到伤害，隐士会进入“隐身”。直到发起进攻，受到范围伤害，或者被隐身感知观察到。</t>
        </is>
      </c>
    </row>
    <row r="12" ht="50" customHeight="1">
      <c r="A12" s="43" t="n"/>
      <c r="B12" s="43" t="n"/>
      <c r="C12" s="43" t="n"/>
      <c r="D12" s="43" t="n"/>
      <c r="E12" s="40" t="inlineStr">
        <is>
          <t>8级 | 高级隐身</t>
        </is>
      </c>
      <c r="F12" s="32" t="inlineStr">
        <is>
          <t>隐士使用超级必杀技后会进入“高级隐身”，持续至多2个回合，其中即使造成和受到伤害也不会现身，且下次使用的独门绝技将会视为对手第一次见到此技。</t>
        </is>
      </c>
    </row>
    <row r="13" ht="50" customHeight="1">
      <c r="A13" s="33" t="inlineStr">
        <is>
          <t>军士</t>
        </is>
      </c>
      <c r="B13" s="44" t="inlineStr">
        <is>
          <t>1级 | 专业素养</t>
        </is>
      </c>
      <c r="C13" s="34" t="inlineStr">
        <is>
          <t>军士不会轻易受到言语上的挑衅，也不会受到魅惑。抵抗来自此类技能效果的减益会获得优势检定（=对手获得劣势检定）。</t>
        </is>
      </c>
      <c r="D13" s="45" t="inlineStr">
        <is>
          <t>技巧型</t>
        </is>
      </c>
      <c r="E13" s="44" t="inlineStr">
        <is>
          <t>1级 | 连续技</t>
        </is>
      </c>
      <c r="F13" s="34" t="inlineStr">
        <is>
          <t>每回合，对陷入特殊状态的对手可以使用一次无消耗的非OD版本必杀技。该必杀技会有(1d6 -熟练项调整)的惩罚。</t>
        </is>
      </c>
    </row>
    <row r="14" ht="50" customHeight="1">
      <c r="A14" s="42" t="n"/>
      <c r="B14" s="42" t="n"/>
      <c r="C14" s="42" t="n"/>
      <c r="D14" s="42" t="n"/>
      <c r="E14" s="44" t="inlineStr">
        <is>
          <t>1级 | 斗气连携</t>
        </is>
      </c>
      <c r="F14" s="34" t="inlineStr">
        <is>
          <t>使用OD必杀技之后的一回合内，所有OD技只会消耗1格斗气。</t>
        </is>
      </c>
    </row>
    <row r="15" ht="50" customHeight="1">
      <c r="A15" s="42" t="n"/>
      <c r="B15" s="42" t="n"/>
      <c r="C15" s="42" t="n"/>
      <c r="D15" s="43" t="n"/>
      <c r="E15" s="44" t="inlineStr">
        <is>
          <t>8级 | 完美谢幕</t>
        </is>
      </c>
      <c r="F15" s="34" t="inlineStr">
        <is>
          <t>你的超级必杀技必定命中特殊状态的敌人（包括强制倒地）。本场战斗中每次使用必杀技都会使超级必杀技增加2点伤害（且该部分伤害不会被修正影响）。</t>
        </is>
      </c>
    </row>
    <row r="16" ht="50" customHeight="1">
      <c r="A16" s="42" t="n"/>
      <c r="B16" s="43" t="n"/>
      <c r="C16" s="43" t="n"/>
      <c r="D16" s="45" t="inlineStr">
        <is>
          <t>力量型</t>
        </is>
      </c>
      <c r="E16" s="44" t="inlineStr">
        <is>
          <t>1级 | 塔盾</t>
        </is>
      </c>
      <c r="F16" s="34" t="inlineStr">
        <is>
          <t>消耗80%的移动力。1个回合内，你会携带“霸体”。霸体状态角色的行动无法被反应。霸体角色受到的强制位移会被显著削弱。</t>
        </is>
      </c>
    </row>
    <row r="17" ht="50" customHeight="1">
      <c r="A17" s="42" t="n"/>
      <c r="B17" s="44" t="inlineStr">
        <is>
          <t>1级 | 无间配合</t>
        </is>
      </c>
      <c r="C17" s="34" t="inlineStr">
        <is>
          <t>军士非常擅长协同作战。你命中其他队友打入特殊状态的敌人会将其击飞。如果是两个军士在一回合内命中同一个目标时，该敌人还会受到额外的1+1d6的伤害。</t>
        </is>
      </c>
      <c r="D17" s="42" t="n"/>
      <c r="E17" s="44" t="inlineStr">
        <is>
          <t>1级 | 当身</t>
        </is>
      </c>
      <c r="F17" s="34" t="inlineStr">
        <is>
          <t>近战攻击命中你的“霸体状态”时，攻击者会受到一个等同于你轻攻击的伤害，并进行一个体质检定，如果检定失败，你对其下次攻击会处于优势。</t>
        </is>
      </c>
    </row>
    <row r="18" ht="50" customHeight="1">
      <c r="A18" s="42" t="n"/>
      <c r="B18" s="42" t="n"/>
      <c r="C18" s="42" t="n"/>
      <c r="D18" s="42" t="n"/>
      <c r="E18" s="44" t="inlineStr">
        <is>
          <t>1级 | 谁需要来一记重拳！</t>
        </is>
      </c>
      <c r="F18" s="34" t="inlineStr">
        <is>
          <t>你击飞的敌人会飞的更高。你造成特殊状态时，会对对手造成一个额外的（1d4+力量调整）的伤害。</t>
        </is>
      </c>
    </row>
    <row r="19" ht="50" customHeight="1">
      <c r="A19" s="42" t="n"/>
      <c r="B19" s="42" t="n"/>
      <c r="C19" s="42" t="n"/>
      <c r="D19" s="43" t="n"/>
      <c r="E19" s="44" t="inlineStr">
        <is>
          <t>8级 | 猛然冲击</t>
        </is>
      </c>
      <c r="F19" s="34" t="inlineStr">
        <is>
          <t>你的超级必杀技会给予你持续2回合的“霸体”。位于你超级必杀技释放路径/范围内的所有其他敌人都会受到30%的该超级必杀技伤害。</t>
        </is>
      </c>
    </row>
    <row r="20" ht="50" customHeight="1">
      <c r="A20" s="42" t="n"/>
      <c r="B20" s="43" t="n"/>
      <c r="C20" s="43" t="n"/>
      <c r="D20" s="45" t="inlineStr">
        <is>
          <t>灵动型</t>
        </is>
      </c>
      <c r="E20" s="44" t="inlineStr">
        <is>
          <t>1级 | 奇袭</t>
        </is>
      </c>
      <c r="F20" s="34" t="inlineStr">
        <is>
          <t>你从与对手不同地形位置发起的进攻具有优势。你擅长在各种地形上移动（不会消耗额外移动力）。</t>
        </is>
      </c>
    </row>
    <row r="21" ht="50" customHeight="1">
      <c r="A21" s="42" t="n"/>
      <c r="B21" s="44" t="inlineStr">
        <is>
          <t>1级 | 不屈</t>
        </is>
      </c>
      <c r="C21" s="34" t="inlineStr">
        <is>
          <t>军士受过严酷的意志力训练，体力值归0时不会倒地濒死而是继续作战。2回合内受到治疗，或者击杀1名敌人，则会从此状态恢复。再次受到伤害，或者2回合后如果未能取得击杀，则会直接死亡。不屈时，军士移动力减半，但攻击会获得优势命中。每场战斗可以重复触发。</t>
        </is>
      </c>
      <c r="D21" s="42" t="n"/>
      <c r="E21" s="44" t="inlineStr">
        <is>
          <t>1级 | 飞檐走壁</t>
        </is>
      </c>
      <c r="F21" s="34" t="inlineStr">
        <is>
          <t>你可以在墙壁/天花板等类似地形停留最多一个回合。</t>
        </is>
      </c>
    </row>
    <row r="22" ht="50" customHeight="1">
      <c r="A22" s="42" t="n"/>
      <c r="B22" s="42" t="n"/>
      <c r="C22" s="42" t="n"/>
      <c r="D22" s="42" t="n"/>
      <c r="E22" s="44" t="inlineStr">
        <is>
          <t>1级 | 跑快快！</t>
        </is>
      </c>
      <c r="F22" s="34" t="inlineStr">
        <is>
          <t>速度型军士获得额外10尺的移动距离。</t>
        </is>
      </c>
    </row>
    <row r="23" ht="50" customHeight="1">
      <c r="A23" s="43" t="n"/>
      <c r="B23" s="43" t="n"/>
      <c r="C23" s="43" t="n"/>
      <c r="D23" s="43" t="n"/>
      <c r="E23" s="44" t="inlineStr">
        <is>
          <t>8级 | 红色delta强袭</t>
        </is>
      </c>
      <c r="F23" s="34" t="inlineStr">
        <is>
          <t>在特殊地形时：你可以在队友攻击后释放你的超级必杀技。若如此做，你的超级必杀技必定会命中对手，但是队友回合会就此结束，你可以开始一个新的回合。如果你是队伍中唯一存活的角色，你可以在任意角色行动时释放你的超级必杀技。</t>
        </is>
      </c>
    </row>
    <row r="24" ht="50" customHeight="1">
      <c r="A24" s="35" t="inlineStr">
        <is>
          <t>蛮勇斗士</t>
        </is>
      </c>
      <c r="B24" s="46" t="inlineStr">
        <is>
          <t>1级 | 暴力本能</t>
        </is>
      </c>
      <c r="C24" s="36" t="inlineStr">
        <is>
          <t>蛮勇斗士可以以一个附赠动作进入“狂暴”状态，每次长休后你可使用的狂暴次数等于（你的等级/3）+1。狂暴状态时，你的普通技都会等同于附带最大可使用狂暴状态次数的伤害；你的力量检定和力量豁免具有优势；拥有对轻/中攻击的抗性（受到伤害为50%）。“狂暴”状态的角色无法使用飞行道具。如果角色被击晕，强制倒地，或者一回合内未造成/受到伤害，狂暴状态解除。你也可以主动结束狂暴状态。</t>
        </is>
      </c>
      <c r="D24" s="47" t="inlineStr">
        <is>
          <t>摔角手</t>
        </is>
      </c>
      <c r="E24" s="46" t="inlineStr">
        <is>
          <t>1级 | 歌莉娅巨人</t>
        </is>
      </c>
      <c r="F24" s="36" t="inlineStr">
        <is>
          <t>你的“狂暴”会让你的身形变大。巨大化时受到位移效果显著降低；你可以轻松举起比你体型小的敌人，对这类敌人的指令投技能具有优势。会随着体型与对手体型的差值获得更多优势（由dm描述决定）。</t>
        </is>
      </c>
    </row>
    <row r="25" ht="50" customHeight="1">
      <c r="A25" s="42" t="n"/>
      <c r="B25" s="42" t="n"/>
      <c r="C25" s="42" t="n"/>
      <c r="D25" s="42" t="n"/>
      <c r="E25" s="46" t="inlineStr">
        <is>
          <t>1级 | 坦克引擎</t>
        </is>
      </c>
      <c r="F25" s="36" t="inlineStr">
        <is>
          <t>你的指令投系技能击杀对手时会获得3点最大生命值。</t>
        </is>
      </c>
    </row>
    <row r="26" ht="50" customHeight="1">
      <c r="A26" s="42" t="n"/>
      <c r="B26" s="42" t="n"/>
      <c r="C26" s="42" t="n"/>
      <c r="D26" s="43" t="n"/>
      <c r="E26" s="46" t="inlineStr">
        <is>
          <t>8级 | 大爆炸</t>
        </is>
      </c>
      <c r="F26" s="36" t="inlineStr">
        <is>
          <t>你的超级必杀技必定会命中体型小于你的敌人。在剩余战斗时间里你的体型会保持巨大化（可以与狂暴巨大叠加），且力量会直接升至21。</t>
        </is>
      </c>
    </row>
    <row r="27" ht="50" customHeight="1">
      <c r="A27" s="42" t="n"/>
      <c r="B27" s="42" t="n"/>
      <c r="C27" s="42" t="n"/>
      <c r="D27" s="47" t="inlineStr">
        <is>
          <t>丛林猎手</t>
        </is>
      </c>
      <c r="E27" s="46" t="inlineStr">
        <is>
          <t>1级 | 猿神启动</t>
        </is>
      </c>
      <c r="F27" s="36" t="inlineStr">
        <is>
          <t>你的狂暴会让你身上流淌一种自然元素（毒，冰，火，电，选1），你的近战攻击会携带该元素效果并以该元素伤害作为额外狂暴伤害。</t>
        </is>
      </c>
    </row>
    <row r="28" ht="120" customHeight="1">
      <c r="A28" s="42" t="n"/>
      <c r="B28" s="43" t="n"/>
      <c r="C28" s="43" t="n"/>
      <c r="D28" s="42" t="n"/>
      <c r="E28" s="46" t="inlineStr">
        <is>
          <t>1级 | 野性</t>
        </is>
      </c>
      <c r="F28" s="36" t="inlineStr">
        <is>
          <t>你对敌人造成的元素效果伤害可以叠加，对手回合开始时会进行体质豁免检定，没有通过则会保留层数，通过则会重置。每个元素分别对应以下效果：
a.毒：每回合受1d6+体质熟练的毒伤害。5层触发毒爆，对10尺内敌造成1d10+熟练毒伤害。
b.冰：每层减20%移动。5层触发冰暴，束缚10尺内敌造1d10+熟练伤害。
c.火：移动痕迹留火，对经过者造1d6+熟练燃烧伤。5层触发爆炸，造1d20+熟练伤害，火留3回合。
d.电：每层1d4+熟练闪电伤害。多带电敌人受连锁总层数伤害。场上总5层引发雷电猛击：眩晕1回并受1d10+熟练伤害。</t>
        </is>
      </c>
    </row>
    <row r="29" ht="50" customHeight="1">
      <c r="A29" s="42" t="n"/>
      <c r="B29" s="46" t="inlineStr">
        <is>
          <t>1级 | 凶蛮重击</t>
        </is>
      </c>
      <c r="C29" s="36" t="inlineStr">
        <is>
          <t>你的普通技重击可以获得一个额外的伤害骰子（等同于该动作所使用的骰子）。8级时你可以再获得一个。</t>
        </is>
      </c>
      <c r="D29" s="43" t="n"/>
      <c r="E29" s="46" t="inlineStr">
        <is>
          <t>8级 | 野性爆发</t>
        </is>
      </c>
      <c r="F29" s="36" t="inlineStr">
        <is>
          <t>使用超级必杀技后，你可以选择一种自然元素并保留该元素效果直至该场战斗结束，可以与猿神启动叠加（你可以选两个一样元素来达到双倍叠层，或者不同元素来达到多重效果）。</t>
        </is>
      </c>
    </row>
    <row r="30" ht="75" customHeight="1">
      <c r="A30" s="42" t="n"/>
      <c r="B30" s="42" t="n"/>
      <c r="C30" s="42" t="n"/>
      <c r="D30" s="47" t="inlineStr">
        <is>
          <t>推土机</t>
        </is>
      </c>
      <c r="E30" s="46" t="inlineStr">
        <is>
          <t>1级 | 大力士</t>
        </is>
      </c>
      <c r="F30" s="36" t="inlineStr">
        <is>
          <t>你的“狂暴“会让你的所有攻击附带”击退“效果，无论是否造成伤害（但”挥空“时不会推开）。你的”击退“会与地形产生互动。击退的距离与攻击方式，攻击强度，和对手体型相关（由dm描述决定）。如果你攻击本身就附带特殊状态效果，则不会击退。对已经处于特殊状态（如浮空，倒地等）的角色产生的击退效果更强，与地形的互动也会更有效。</t>
        </is>
      </c>
    </row>
    <row r="31" ht="50" customHeight="1">
      <c r="A31" s="42" t="n"/>
      <c r="B31" s="42" t="n"/>
      <c r="C31" s="42" t="n"/>
      <c r="D31" s="42" t="n"/>
      <c r="E31" s="46" t="inlineStr">
        <is>
          <t>1级 | 几何学</t>
        </is>
      </c>
      <c r="F31" s="36" t="inlineStr">
        <is>
          <t>通过反应施放，如果附近有一名角色被击退到你附近你可以对他们再一次进行击退（可以随意选择方向），造成等同于他们上次击退受到的伤害。</t>
        </is>
      </c>
    </row>
    <row r="32" ht="50" customHeight="1">
      <c r="A32" s="43" t="n"/>
      <c r="B32" s="43" t="n"/>
      <c r="C32" s="43" t="n"/>
      <c r="D32" s="43" t="n"/>
      <c r="E32" s="46" t="inlineStr">
        <is>
          <t>8级 | 天崩地裂</t>
        </is>
      </c>
      <c r="F32" s="36" t="inlineStr">
        <is>
          <t>你的超级必杀技会在目标角色周围砸出一个直径20尺的圆形墙壁地形，持续到你或者目标死亡（可被破坏或者局部破坏）。如果在室内释放，则会将该部分区域强制转化为直径20尺的竞技场。所有与该墙壁互动的角色都会受到额外的1d6的伤害。</t>
        </is>
      </c>
    </row>
    <row r="33" ht="50" customHeight="1">
      <c r="A33" s="48" t="inlineStr">
        <is>
          <t>刽子手</t>
        </is>
      </c>
      <c r="B33" s="49" t="inlineStr">
        <is>
          <t>1级 | 最后一击</t>
        </is>
      </c>
      <c r="C33" s="50" t="inlineStr">
        <is>
          <t>每场战斗开始时刽子手会进行一个“处决”判定（1d4+力量熟练调整），如果刽子手的攻击使一名角色血量降低至该处决值以下，则会直接击杀该目标，并获得来自x公司的金钱提成（取决于击杀目标的价值）。</t>
        </is>
      </c>
      <c r="D33" s="51" t="inlineStr">
        <is>
          <t>刺杀者</t>
        </is>
      </c>
      <c r="E33" s="49" t="inlineStr">
        <is>
          <t>1级 | 终结标记</t>
        </is>
      </c>
      <c r="F33" s="50" t="inlineStr">
        <is>
          <t>你每次必杀技命中时都会获得1个1d6的“终结骰“，你可以在之后的必杀技命中时选择是否使用。使用时，会消耗所有已积攒的”终结骰“来对对手造成额外伤害。终结骰最多可以积攒5个。</t>
        </is>
      </c>
    </row>
    <row r="34" ht="50" customHeight="1">
      <c r="A34" s="42" t="n"/>
      <c r="B34" s="42" t="n"/>
      <c r="C34" s="42" t="n"/>
      <c r="D34" s="42" t="n"/>
      <c r="E34" s="49" t="inlineStr">
        <is>
          <t>1级 | 余罪赦免</t>
        </is>
      </c>
      <c r="F34" s="50" t="inlineStr">
        <is>
          <t>你受到致命伤害时，可以消耗所有的“终结骰“，你恢复到该数量的生命值。每次长休只能触发一次。</t>
        </is>
      </c>
    </row>
    <row r="35" ht="50" customHeight="1">
      <c r="A35" s="42" t="n"/>
      <c r="B35" s="43" t="n"/>
      <c r="C35" s="43" t="n"/>
      <c r="D35" s="43" t="n"/>
      <c r="E35" s="49" t="inlineStr">
        <is>
          <t>8级 | 终审 · 命定之死</t>
        </is>
      </c>
      <c r="F35" s="50" t="inlineStr">
        <is>
          <t>释放超级必杀技后，你所有的“终结骰“会升级成每个1d10的骰子，持续到战斗结束。</t>
        </is>
      </c>
    </row>
    <row r="36" ht="90" customHeight="1">
      <c r="A36" s="42" t="n"/>
      <c r="B36" s="49" t="inlineStr">
        <is>
          <t>1级 | 背刺</t>
        </is>
      </c>
      <c r="C36" s="50" t="inlineStr">
        <is>
          <t>从身后/未被发现/先攻时发起的进攻会附带优势，并造成额外的1d6的伤害（每回合最多一次）。</t>
        </is>
      </c>
      <c r="D36" s="51" t="inlineStr">
        <is>
          <t>荣耀行刑官</t>
        </is>
      </c>
      <c r="E36" s="49" t="inlineStr">
        <is>
          <t>1级 | 镜花水月</t>
        </is>
      </c>
      <c r="F36" s="50" t="inlineStr">
        <is>
          <t>你可以在以下时机在20尺内的一个地方投放一个虚影。虚影受到攻击会被摧毁，并使攻击者“挥空”。挥空的对手无法取消此次普通技，且该回合内下次受击将处于“确反康”状态。
a)盛大登场：进入战斗时可以获得1回合的隐身，并创造一个虚影。
b)神出鬼没：每次触发“重击”或者“确反康”后可以进入1回合的隐身，并创造一个虚影。
c)夜行者：每次击杀后可以进入1回合的隐身，并创造一个虚影。</t>
        </is>
      </c>
    </row>
    <row r="37" ht="50" customHeight="1">
      <c r="A37" s="42" t="n"/>
      <c r="B37" s="42" t="n"/>
      <c r="C37" s="42" t="n"/>
      <c r="D37" s="42" t="n"/>
      <c r="E37" s="49" t="inlineStr">
        <is>
          <t>1级 | 保持酷爽</t>
        </is>
      </c>
      <c r="F37" s="50" t="inlineStr">
        <is>
          <t>你受到致命伤害时，会自动闪身到10尺处的一个较为安全的地方，并同时对攻击者释放一次必定“重击”的重攻击，生命值保持在1点。命中并击败对手后，你会恢复与所造成伤害等量的生命值。每次长休只能触发一次。</t>
        </is>
      </c>
    </row>
    <row r="38" ht="50" customHeight="1">
      <c r="A38" s="43" t="n"/>
      <c r="B38" s="43" t="n"/>
      <c r="C38" s="43" t="n"/>
      <c r="D38" s="43" t="n"/>
      <c r="E38" s="49" t="inlineStr">
        <is>
          <t>8级 | 狂舞终乐章</t>
        </is>
      </c>
      <c r="F38" s="50" t="inlineStr">
        <is>
          <t>你的超级必杀技会引爆全场，使目标20尺内所有角色陷入2回合“头晕目眩”状态：所有攻击都会“挥空”。所有以他们为目标的攻击都会具有优势。</t>
        </is>
      </c>
    </row>
    <row r="39" ht="50" customHeight="1">
      <c r="A39" s="52" t="inlineStr">
        <is>
          <t>牵制者</t>
        </is>
      </c>
      <c r="B39" s="53" t="inlineStr">
        <is>
          <t>1级 | 火力覆盖</t>
        </is>
      </c>
      <c r="C39" s="54" t="inlineStr">
        <is>
          <t>你的飞行道具系必杀技可以通过附赠动作释放。你飞行道具系必杀技的od版本只消耗1格斗气槽。</t>
        </is>
      </c>
      <c r="D39" s="55" t="inlineStr">
        <is>
          <t>重炮手</t>
        </is>
      </c>
      <c r="E39" s="53" t="inlineStr">
        <is>
          <t>1级 | 让子弹飞一会</t>
        </is>
      </c>
      <c r="F39" s="54" t="inlineStr">
        <is>
          <t>你所有的非od的飞行道具系必杀技会在你释放之后缓慢飞行，追踪并在对手回合开始时命中对手（在轮到其回合时进行命中及伤害判定）。所有在此期间提前触碰到的敌人会直接被该道具命中。</t>
        </is>
      </c>
    </row>
    <row r="40" ht="50" customHeight="1">
      <c r="A40" s="42" t="n"/>
      <c r="B40" s="42" t="n"/>
      <c r="C40" s="42" t="n"/>
      <c r="D40" s="42" t="n"/>
      <c r="E40" s="53" t="inlineStr">
        <is>
          <t>1级 | 范围轰炸</t>
        </is>
      </c>
      <c r="F40" s="54" t="inlineStr">
        <is>
          <t>你的飞行道具系必杀技会对命中对手及其附近3尺半径内所有敌人造成伤害，非直接命中的敌人受到一半伤害。</t>
        </is>
      </c>
    </row>
    <row r="41" ht="50" customHeight="1">
      <c r="A41" s="42" t="n"/>
      <c r="B41" s="42" t="n"/>
      <c r="C41" s="42" t="n"/>
      <c r="D41" s="42" t="n"/>
      <c r="E41" s="53" t="inlineStr">
        <is>
          <t>1级 | 炮架</t>
        </is>
      </c>
      <c r="F41" s="54" t="inlineStr">
        <is>
          <t>可开关状态，不能在同一回合内同时开关。你失去75%移动力并将其转换为额外飞行道具系必杀技的攻击距离；同时范围伤害半径扩大到6尺。</t>
        </is>
      </c>
    </row>
    <row r="42" ht="50" customHeight="1">
      <c r="A42" s="42" t="n"/>
      <c r="B42" s="43" t="n"/>
      <c r="C42" s="43" t="n"/>
      <c r="D42" s="43" t="n"/>
      <c r="E42" s="53" t="inlineStr">
        <is>
          <t>8级 | 炮火连天</t>
        </is>
      </c>
      <c r="F42" s="54" t="inlineStr">
        <is>
          <t>释放超级必杀技后你会对场上所有敌人释放一个飞行道具系必杀技。如果一个敌人受到了两次来自不同飞行道具的伤害，会受到一次额外的1d10+控制熟练的伤害。</t>
        </is>
      </c>
    </row>
    <row r="43" ht="50" customHeight="1">
      <c r="A43" s="42" t="n"/>
      <c r="B43" s="53" t="inlineStr">
        <is>
          <t>1级 | 射击专精</t>
        </is>
      </c>
      <c r="C43" s="54" t="inlineStr">
        <is>
          <t>可开关状态，不能在同一回合内同时开关。你对15尺以外的无掩体敌人的攻击带有优势。5尺以内的敌人对你的攻击带有优势。</t>
        </is>
      </c>
      <c r="D43" s="55" t="inlineStr">
        <is>
          <t>速射手</t>
        </is>
      </c>
      <c r="E43" s="53" t="inlineStr">
        <is>
          <t>1级 | 穿透射击</t>
        </is>
      </c>
      <c r="F43" s="54" t="inlineStr">
        <is>
          <t>你所有的非od的飞行道具系必杀技会在你释放之后迅速到达对手处，穿透所有经过的敌人。非主要目标会受到50%的伤害。无论是否命中，受影响的敌人会被击退到弹道两旁（无法产生与地形互动）。</t>
        </is>
      </c>
    </row>
    <row r="44" ht="50" customHeight="1">
      <c r="A44" s="42" t="n"/>
      <c r="B44" s="42" t="n"/>
      <c r="C44" s="42" t="n"/>
      <c r="D44" s="42" t="n"/>
      <c r="E44" s="53" t="inlineStr">
        <is>
          <t>1级 | 连发</t>
        </is>
      </c>
      <c r="F44" s="54" t="inlineStr">
        <is>
          <t>如果你释放的飞行道具系必杀技命中至少两名敌人，或者造成重击伤害，你可以无消耗的再释放一次。可以重复触发。</t>
        </is>
      </c>
    </row>
    <row r="45" ht="50" customHeight="1">
      <c r="A45" s="42" t="n"/>
      <c r="B45" s="42" t="n"/>
      <c r="C45" s="42" t="n"/>
      <c r="D45" s="42" t="n"/>
      <c r="E45" s="53" t="inlineStr">
        <is>
          <t>1级 | 枪托</t>
        </is>
      </c>
      <c r="F45" s="54" t="inlineStr">
        <is>
          <t>可开关状态，不能在同一回合内同时开关。你的飞行道具系必杀技不会向两旁击退而是向正后方，但每次释放会额外消耗20%移动力。</t>
        </is>
      </c>
    </row>
    <row r="46" ht="50" customHeight="1">
      <c r="A46" s="43" t="n"/>
      <c r="B46" s="43" t="n"/>
      <c r="C46" s="43" t="n"/>
      <c r="D46" s="43" t="n"/>
      <c r="E46" s="53" t="inlineStr">
        <is>
          <t>8级 | 全自动模式</t>
        </is>
      </c>
      <c r="F46" s="54" t="inlineStr">
        <is>
          <t>释放超级必杀技后，你每回合开始时会向最近的敌人自动发射一个飞行道具，可以触发连发。</t>
        </is>
      </c>
    </row>
    <row r="47" ht="50" customHeight="1">
      <c r="A47" s="56" t="inlineStr">
        <is>
          <t>影罗残党</t>
        </is>
      </c>
      <c r="B47" s="57" t="inlineStr">
        <is>
          <t>1级 | 精神力</t>
        </is>
      </c>
      <c r="C47" s="58" t="inlineStr">
        <is>
          <t>你所有类型的必杀技都会附带1d4+控制熟练的心灵伤害。受到心灵伤害的对手会被施加一层“精神萎靡”。处于精神萎靡的单位会丧失斗志，所有攻击附带-1的伤害修正，最多叠加5层。</t>
        </is>
      </c>
      <c r="D47" s="59" t="inlineStr">
        <is>
          <t>统领</t>
        </is>
      </c>
      <c r="E47" s="57" t="inlineStr">
        <is>
          <t>1级 | 精神力穿透</t>
        </is>
      </c>
      <c r="F47" s="58" t="inlineStr">
        <is>
          <t>你的心灵伤害无视抗性，并且无视对手的临时生命值。</t>
        </is>
      </c>
    </row>
    <row r="48" ht="50" customHeight="1">
      <c r="A48" s="42" t="n"/>
      <c r="B48" s="42" t="n"/>
      <c r="C48" s="42" t="n"/>
      <c r="D48" s="42" t="n"/>
      <c r="E48" s="57" t="inlineStr">
        <is>
          <t>1级 | 心灵控制</t>
        </is>
      </c>
      <c r="F48" s="58" t="inlineStr">
        <is>
          <t>当对手“精神萎靡”状态累计至5层时，你可以在接下来最多1回合内完全操控对方行动，替代自己的行动回合。控制结束之后对手层数会清零。操控期间，对手也会携带“精神力”的伤害。无法使用操控对手的超级必杀技。</t>
        </is>
      </c>
    </row>
    <row r="49" ht="50" customHeight="1">
      <c r="A49" s="42" t="n"/>
      <c r="B49" s="42" t="n"/>
      <c r="C49" s="42" t="n"/>
      <c r="D49" s="42" t="n"/>
      <c r="E49" s="57" t="inlineStr">
        <is>
          <t>1级 | 精神力雷弹</t>
        </is>
      </c>
      <c r="F49" s="58" t="inlineStr">
        <is>
          <t>所有未命中的必杀技将在目标身上留下一枚精神力雷弹，该雷弹在对手回合开始时进行命中判定，若判定成功，则对目标造成等值于精神力的伤害。</t>
        </is>
      </c>
    </row>
    <row r="50" ht="50" customHeight="1">
      <c r="A50" s="42" t="n"/>
      <c r="B50" s="43" t="n"/>
      <c r="C50" s="43" t="n"/>
      <c r="D50" s="43" t="n"/>
      <c r="E50" s="57" t="inlineStr">
        <is>
          <t>8级 | 精神力惩罚</t>
        </is>
      </c>
      <c r="F50" s="58" t="inlineStr">
        <is>
          <t>你领域展开时，给其中所有对手身上留下一枚精神力雷弹，并可以在引爆时从天而降，踩向对手。</t>
        </is>
      </c>
    </row>
    <row r="51" ht="50" customHeight="1">
      <c r="A51" s="42" t="n"/>
      <c r="B51" s="57" t="inlineStr">
        <is>
          <t>1级 | 精神力防御</t>
        </is>
      </c>
      <c r="C51" s="58" t="inlineStr">
        <is>
          <t>你对心灵伤害有抗性，受到心灵伤害减半。</t>
        </is>
      </c>
      <c r="D51" s="59" t="inlineStr">
        <is>
          <t>教头</t>
        </is>
      </c>
      <c r="E51" s="57" t="inlineStr">
        <is>
          <t>1级 | 附魔拳脚</t>
        </is>
      </c>
      <c r="F51" s="58" t="inlineStr">
        <is>
          <t>你所有的普通技，特殊技施展范围增加1尺。在重击时也会携带“精神力”伤害。</t>
        </is>
      </c>
    </row>
    <row r="52" ht="50" customHeight="1">
      <c r="A52" s="42" t="n"/>
      <c r="B52" s="42" t="n"/>
      <c r="C52" s="42" t="n"/>
      <c r="D52" s="42" t="n"/>
      <c r="E52" s="57" t="inlineStr">
        <is>
          <t>1级 | 精神力火花</t>
        </is>
      </c>
      <c r="F52" s="58" t="inlineStr">
        <is>
          <t>你的必杀技可以强制移动身上带有“精神萎靡”的对手。强制移动会消耗层数，每消耗一层移动距离增加1尺（最少为1）。可以与地形产生互动。</t>
        </is>
      </c>
    </row>
    <row r="53" ht="50" customHeight="1">
      <c r="A53" s="42" t="n"/>
      <c r="B53" s="42" t="n"/>
      <c r="C53" s="42" t="n"/>
      <c r="D53" s="42" t="n"/>
      <c r="E53" s="57" t="inlineStr">
        <is>
          <t>1级 | 诛杀步</t>
        </is>
      </c>
      <c r="F53" s="58" t="inlineStr">
        <is>
          <t>一段特殊位移，能且只能取消自己的必杀技使用。位移距离根据命中时对手身上的“精神萎靡”层数而定，每消耗一层增加1尺（最少为2尺）。如果朝对手相反方向移动，距离减半。</t>
        </is>
      </c>
    </row>
    <row r="54" ht="50" customHeight="1">
      <c r="A54" s="42" t="n"/>
      <c r="B54" s="43" t="n"/>
      <c r="C54" s="43" t="n"/>
      <c r="D54" s="43" t="n"/>
      <c r="E54" s="57" t="inlineStr">
        <is>
          <t>8级 | 精神力空间</t>
        </is>
      </c>
      <c r="F54" s="58" t="inlineStr">
        <is>
          <t>你领域展开时，会束缚其中所有对手，每回合会进行耐力检定，最多持续5回合。</t>
        </is>
      </c>
    </row>
    <row r="55" ht="60" customHeight="1">
      <c r="A55" s="42" t="n"/>
      <c r="B55" s="57" t="inlineStr">
        <is>
          <t>8级 | 领域展开</t>
        </is>
      </c>
      <c r="C55" s="58" t="inlineStr">
        <is>
          <t>所有影罗残党的超级必杀技都会变更为“领域展开”。无需进行命中判定，你将会和最多2名对手进入精神力领域。期间你每回合会失去一格斗气，斗气枯竭时领域结束。你的所有攻击必定命中领域中的对手，且“精神萎靡”状态可以被叠加到最多10层，达到10层的对手会立刻死亡。如果场上有超过1个领域同时展开，则会抵消相互剩余斗气，直到一方斗气枯竭，留下另一方的领域。</t>
        </is>
      </c>
      <c r="D55" s="59" t="inlineStr">
        <is>
          <t>黑手</t>
        </is>
      </c>
      <c r="E55" s="57" t="inlineStr">
        <is>
          <t>1级 | 恶作剧</t>
        </is>
      </c>
      <c r="F55" s="58" t="inlineStr">
        <is>
          <t>你的飞行道具飞向敌人时，会在地上留下一个半径2尺的地刺陷阱。如果有单位被强制位移至其中，或一回合后，地刺会自动刺出攻击所以范围内的敌人，造成精神力伤害。你也可以消耗一个附赠动作来直接引爆。OD版本飞行道具留下的地刺半径为4尺，会击飞所有击中的单位，且引爆不消耗资源。</t>
        </is>
      </c>
    </row>
    <row r="56" ht="50" customHeight="1">
      <c r="A56" s="42" t="n"/>
      <c r="B56" s="42" t="n"/>
      <c r="C56" s="42" t="n"/>
      <c r="D56" s="42" t="n"/>
      <c r="E56" s="57" t="inlineStr">
        <is>
          <t>1级 | 出行</t>
        </is>
      </c>
      <c r="F56" s="58" t="inlineStr">
        <is>
          <t>你可以消耗所有剩余移动力（至少30%）来传送到未引爆的地刺陷阱处。</t>
        </is>
      </c>
    </row>
    <row r="57" ht="50" customHeight="1">
      <c r="A57" s="42" t="n"/>
      <c r="B57" s="42" t="n"/>
      <c r="C57" s="42" t="n"/>
      <c r="D57" s="42" t="n"/>
      <c r="E57" s="57" t="inlineStr">
        <is>
          <t>1级 | 失忆</t>
        </is>
      </c>
      <c r="F57" s="58" t="inlineStr">
        <is>
          <t>一回合内，第一次命中你的攻击会失效，并在对手脚下留下一个地刺陷阱。</t>
        </is>
      </c>
    </row>
    <row r="58" ht="50" customHeight="1">
      <c r="A58" s="43" t="n"/>
      <c r="B58" s="43" t="n"/>
      <c r="C58" s="43" t="n"/>
      <c r="D58" s="43" t="n"/>
      <c r="E58" s="57" t="inlineStr">
        <is>
          <t>8级 | 怪物托尔巴兰</t>
        </is>
      </c>
      <c r="F58" s="58" t="inlineStr">
        <is>
          <t>你领域展开时，会召唤出四个由不同方向袭来的怪物冲向领域内的对手。被命中的对手会被击飞并在其脚下留下地刺陷阱。伤害等同于精神力伤害*受击单位的精神萎靡层数。</t>
        </is>
      </c>
    </row>
    <row r="59" ht="50" customHeight="1">
      <c r="A59" s="60" t="inlineStr">
        <is>
          <t>道具师</t>
        </is>
      </c>
      <c r="B59" s="61" t="inlineStr">
        <is>
          <t>1级 | 不公平对战</t>
        </is>
      </c>
      <c r="C59" s="62" t="inlineStr">
        <is>
          <t>道具师们被允许使用他们专属的道具/武器进行战斗。他们所有的必杀技会根据所使用的武器造成特殊状态。但你的普通技无法使用武器。</t>
        </is>
      </c>
      <c r="D59" s="63" t="inlineStr">
        <is>
          <t>特工</t>
        </is>
      </c>
      <c r="E59" s="61" t="inlineStr">
        <is>
          <t>1级 | 疾速追杀</t>
        </is>
      </c>
      <c r="F59" s="62" t="inlineStr">
        <is>
          <t>每回合开始时，你都可以选择一个携带的，或者身边的物品/非敌对的中立生物进行绑定。你的必杀技可以随时召唤出你所绑定的单位进行攻击。最多同时绑定三个单位。被绑定的对象体型最大不能超过自己。</t>
        </is>
      </c>
    </row>
    <row r="60" ht="50" customHeight="1">
      <c r="A60" s="42" t="n"/>
      <c r="B60" s="43" t="n"/>
      <c r="C60" s="43" t="n"/>
      <c r="D60" s="42" t="n"/>
      <c r="E60" s="61" t="inlineStr">
        <is>
          <t>1级 | 临别赠礼</t>
        </is>
      </c>
      <c r="F60" s="62" t="inlineStr">
        <is>
          <t>你每次施展移动技能时（包括绿冲和跳步等）可以在原地留下一个由已绑定物品作为主要伤害的隐形陷阱，且该陷阱无法被敌人察觉。当有人靠近或者再次召唤该物品时触发，根据该物品效果造成伤害。</t>
        </is>
      </c>
    </row>
    <row r="61" ht="50" customHeight="1">
      <c r="A61" s="42" t="n"/>
      <c r="B61" s="61" t="inlineStr">
        <is>
          <t>1级 | 异次元口袋</t>
        </is>
      </c>
      <c r="C61" s="62" t="inlineStr">
        <is>
          <t>你会获得一个异次元双肩背包。你可以在背包里装任意数量、重量的单位，但大小不得超过你背包大小。</t>
        </is>
      </c>
      <c r="D61" s="43" t="n"/>
      <c r="E61" s="61" t="inlineStr">
        <is>
          <t>8级 | 万剑归宗</t>
        </is>
      </c>
      <c r="F61" s="62" t="inlineStr">
        <is>
          <t>你释放超级必杀技时，身上携带的所有带有攻击性的物品都会短暂倾泻而出，飞向目标造成伤害。</t>
        </is>
      </c>
    </row>
    <row r="62" ht="105" customHeight="1">
      <c r="A62" s="42" t="n"/>
      <c r="B62" s="43" t="n"/>
      <c r="C62" s="43" t="n"/>
      <c r="D62" s="63" t="inlineStr">
        <is>
          <t>影</t>
        </is>
      </c>
      <c r="E62" s="61" t="inlineStr">
        <is>
          <t>1级 | 契约武器</t>
        </is>
      </c>
      <c r="F62" s="62" t="inlineStr">
        <is>
          <t>你可以选择一件物品为契约武器，每次长休后可以选择一次。你的必杀技可以使用你的契约武器进行伤害，可以根据武器特性造成特殊效果。每次使用都会累计一点熟练度。达到25层时，该武器会获得一种元素属性（毒，冰，火，电，选1）。达到50层时，该武器造成的额外伤害翻倍。达到75层时，即使没有命中也会造成武器的额外伤害。达到100层时，该武器达到满级，所有伤害会重击且命中必带优势，即使没有绑定也可以召唤出来使用。切换绑定武器不会损失之前叠加的层数。</t>
        </is>
      </c>
    </row>
    <row r="63" ht="50" customHeight="1">
      <c r="A63" s="42" t="n"/>
      <c r="B63" s="61" t="inlineStr">
        <is>
          <t>1级 | 手工达人</t>
        </is>
      </c>
      <c r="C63" s="62" t="inlineStr">
        <is>
          <t>你可以通过收集各种材料进行合成，根据你所受击的材料进行掷骰，根据结果会获得不一样的战斗中可使用的消耗品。</t>
        </is>
      </c>
      <c r="D63" s="42" t="n"/>
      <c r="E63" s="61" t="inlineStr">
        <is>
          <t>1级 | 大击靶</t>
        </is>
      </c>
      <c r="F63" s="62" t="inlineStr">
        <is>
          <t>你可以投掷一个物品并在空中用你的契约武器对其进行打击。使该物品的效果扩散到被击中区域内所有单位，并对敌人造成该武器的额外伤害。</t>
        </is>
      </c>
    </row>
    <row r="64" ht="50" customHeight="1">
      <c r="A64" s="43" t="n"/>
      <c r="B64" s="43" t="n"/>
      <c r="C64" s="43" t="n"/>
      <c r="D64" s="43" t="n"/>
      <c r="E64" s="61" t="inlineStr">
        <is>
          <t>8级 | 天人合一</t>
        </is>
      </c>
      <c r="F64" s="62" t="inlineStr">
        <is>
          <t>释放超级必杀技之后，你手中的武器会短暂升到满级，持续到战斗结束。</t>
        </is>
      </c>
    </row>
  </sheetData>
  <mergeCells count="61">
    <mergeCell ref="D62:D64"/>
    <mergeCell ref="C21:C23"/>
    <mergeCell ref="B51:B54"/>
    <mergeCell ref="D51:D54"/>
    <mergeCell ref="B47:B50"/>
    <mergeCell ref="A59:A64"/>
    <mergeCell ref="A47:A58"/>
    <mergeCell ref="A39:A46"/>
    <mergeCell ref="B61:B62"/>
    <mergeCell ref="B33:B35"/>
    <mergeCell ref="C29:C32"/>
    <mergeCell ref="C63:C64"/>
    <mergeCell ref="D33:D35"/>
    <mergeCell ref="D24:D26"/>
    <mergeCell ref="B2:B5"/>
    <mergeCell ref="B36:B38"/>
    <mergeCell ref="C59:C60"/>
    <mergeCell ref="D5:D9"/>
    <mergeCell ref="D30:D32"/>
    <mergeCell ref="B43:B46"/>
    <mergeCell ref="B17:B20"/>
    <mergeCell ref="B39:B42"/>
    <mergeCell ref="B24:B28"/>
    <mergeCell ref="C47:C50"/>
    <mergeCell ref="A2:A12"/>
    <mergeCell ref="D16:D19"/>
    <mergeCell ref="B29:B32"/>
    <mergeCell ref="C33:C35"/>
    <mergeCell ref="C55:C58"/>
    <mergeCell ref="D10:D12"/>
    <mergeCell ref="B13:B16"/>
    <mergeCell ref="D59:D61"/>
    <mergeCell ref="C61:C62"/>
    <mergeCell ref="A13:A23"/>
    <mergeCell ref="C43:C46"/>
    <mergeCell ref="C17:C20"/>
    <mergeCell ref="D47:D50"/>
    <mergeCell ref="C39:C42"/>
    <mergeCell ref="C51:C54"/>
    <mergeCell ref="C2:C5"/>
    <mergeCell ref="B21:B23"/>
    <mergeCell ref="B6:B9"/>
    <mergeCell ref="C24:C28"/>
    <mergeCell ref="A33:A38"/>
    <mergeCell ref="C10:C12"/>
    <mergeCell ref="D27:D29"/>
    <mergeCell ref="D2:D4"/>
    <mergeCell ref="D36:D38"/>
    <mergeCell ref="D43:D46"/>
    <mergeCell ref="B63:B64"/>
    <mergeCell ref="C13:C16"/>
    <mergeCell ref="D39:D42"/>
    <mergeCell ref="B10:B12"/>
    <mergeCell ref="A24:A32"/>
    <mergeCell ref="B55:B58"/>
    <mergeCell ref="D55:D58"/>
    <mergeCell ref="D13:D15"/>
    <mergeCell ref="D20:D23"/>
    <mergeCell ref="B59:B60"/>
    <mergeCell ref="C6:C9"/>
    <mergeCell ref="C36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2026-04-03T05:09:08Z</dcterms:created>
  <dcterms:modified xsi:type="dcterms:W3CDTF">2026-04-03T05:09:08Z</dcterms:modified>
</cp:coreProperties>
</file>